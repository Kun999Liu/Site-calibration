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祁阳" sheetId="1" r:id="rId1"/>
    <sheet name="洞庭湖" sheetId="2" r:id="rId2"/>
    <sheet name="锡林浩特" sheetId="3" r:id="rId3"/>
    <sheet name="沽源" sheetId="4" r:id="rId4"/>
    <sheet name="广州" sheetId="5" r:id="rId5"/>
  </sheets>
  <calcPr calcId="144525"/>
</workbook>
</file>

<file path=xl/sharedStrings.xml><?xml version="1.0" encoding="utf-8"?>
<sst xmlns="http://schemas.openxmlformats.org/spreadsheetml/2006/main" count="777" uniqueCount="83">
  <si>
    <t>祁阳20210903  (AOD:0.0518)</t>
  </si>
  <si>
    <t>坐标</t>
  </si>
  <si>
    <t>26.55976785N,112.07814529E</t>
  </si>
  <si>
    <t>样区1</t>
  </si>
  <si>
    <t>地物</t>
  </si>
  <si>
    <t>土地/砾石</t>
  </si>
  <si>
    <t>波段</t>
  </si>
  <si>
    <t>中心波长</t>
  </si>
  <si>
    <t>RBC</t>
  </si>
  <si>
    <t>FLAASH</t>
  </si>
  <si>
    <t>QUAAC</t>
  </si>
  <si>
    <t>Measured reflectance</t>
  </si>
  <si>
    <t>差值</t>
  </si>
  <si>
    <t>差值/实测</t>
  </si>
  <si>
    <t>均方根误差</t>
  </si>
  <si>
    <t>相关系数</t>
  </si>
  <si>
    <t>决定系数</t>
  </si>
  <si>
    <t>Blue</t>
  </si>
  <si>
    <t>Green</t>
  </si>
  <si>
    <t>平均绝对百分比误差</t>
  </si>
  <si>
    <t>Red</t>
  </si>
  <si>
    <t>Near Red</t>
  </si>
  <si>
    <t>BC-NDVI</t>
  </si>
  <si>
    <t>FLA-NDVI</t>
  </si>
  <si>
    <t>QUAAC-NDVI</t>
  </si>
  <si>
    <t>MR-NDVI</t>
  </si>
  <si>
    <t>差值（FLA-EMR）</t>
  </si>
  <si>
    <t>差值/实测（FLA-EMR）</t>
  </si>
  <si>
    <t>均方根误差（FLA-EMR）</t>
  </si>
  <si>
    <t>相关系数(FLA-EMR)</t>
  </si>
  <si>
    <t>平均绝对百分比误差（FLA-EMR）</t>
  </si>
  <si>
    <t>26.56062497N,112.10183795E</t>
  </si>
  <si>
    <t>样区5</t>
  </si>
  <si>
    <t>茶园</t>
  </si>
  <si>
    <t>26.58886519N,111.79820499E</t>
  </si>
  <si>
    <t>样区4</t>
  </si>
  <si>
    <t>水体</t>
  </si>
  <si>
    <t>祁阳20210706  (AOD:0.2076)</t>
  </si>
  <si>
    <t>.67606270N,111.80262122E</t>
  </si>
  <si>
    <t xml:space="preserve"> 26.60284983N,111.80179287E</t>
  </si>
  <si>
    <t>样区2</t>
  </si>
  <si>
    <t>土地/水稻</t>
  </si>
  <si>
    <t>26.62830275N,111.80345407E</t>
  </si>
  <si>
    <t>洞庭湖20210423  (A0D：0.2325)</t>
  </si>
  <si>
    <t>29.27710921N,112.18487723E</t>
  </si>
  <si>
    <t>水泥地</t>
  </si>
  <si>
    <t>near-infrared</t>
  </si>
  <si>
    <t>草地</t>
  </si>
  <si>
    <t>洞庭湖20201111  （AOD：0.0421）</t>
  </si>
  <si>
    <t xml:space="preserve"> 29.31655118N,113.28161313E</t>
  </si>
  <si>
    <t>29.31061881N,113.29563046E</t>
  </si>
  <si>
    <t>池塘/水面</t>
  </si>
  <si>
    <t>29.31276637N,113.27230346E</t>
  </si>
  <si>
    <t>样区3</t>
  </si>
  <si>
    <t>油茶地/灌木</t>
  </si>
  <si>
    <t>29.31327248N,113.27342339E</t>
  </si>
  <si>
    <t>枣树地/泥土</t>
  </si>
  <si>
    <t>草坪/草地</t>
  </si>
  <si>
    <t>洞庭湖20210115 (AOD：0.7)</t>
  </si>
  <si>
    <t>29.24650312N,112.30772278E</t>
  </si>
  <si>
    <t>29.27116179N,112.12422543E</t>
  </si>
  <si>
    <t>29.27514368N,112.12183991E</t>
  </si>
  <si>
    <t>锡林浩特20200627  (AOD:0.0185)</t>
  </si>
  <si>
    <t>45.22517798N,115.52882090E</t>
  </si>
  <si>
    <t>土地/天然牧草为主</t>
  </si>
  <si>
    <t>锡林浩特20201116  (AOD:0.3257)</t>
  </si>
  <si>
    <t>41.60112857N,115.86820622E</t>
  </si>
  <si>
    <t>牧草</t>
  </si>
  <si>
    <t>MR</t>
  </si>
  <si>
    <t>差值(Q-MR)</t>
  </si>
  <si>
    <t>差值/实测（Q-MR）</t>
  </si>
  <si>
    <t>均方根误差（Q-MR）</t>
  </si>
  <si>
    <t>相关系数(Q-MR)</t>
  </si>
  <si>
    <t>锡林浩特20200806  (AOD:0.0984)</t>
  </si>
  <si>
    <t>沽源20200810  (AOD:0.05)</t>
  </si>
  <si>
    <t>广州20210129  (AOD:0.1422)</t>
  </si>
  <si>
    <t>23.21741295N,113.16385497E</t>
  </si>
  <si>
    <t>样区6</t>
  </si>
  <si>
    <t>23.20547865N,113.19124343E</t>
  </si>
  <si>
    <t>裸地</t>
  </si>
  <si>
    <t>23.22239579N,113.18276877E</t>
  </si>
  <si>
    <t>样区8</t>
  </si>
  <si>
    <t>水塘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</si>
</sst>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33" borderId="6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0" fillId="5" borderId="0" xfId="0" applyNumberFormat="1" applyFont="1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D:\Software\youdao\Dict\8.10.3.0\resultui\html\index.html#\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8"/>
  <sheetViews>
    <sheetView tabSelected="1" zoomScale="70" zoomScaleNormal="70" workbookViewId="0">
      <selection activeCell="I30" sqref="I30"/>
    </sheetView>
  </sheetViews>
  <sheetFormatPr defaultColWidth="8.88888888888889" defaultRowHeight="14.4"/>
  <cols>
    <col min="1" max="1" width="16.6666666666667" customWidth="1"/>
    <col min="2" max="2" width="30.787037037037" customWidth="1"/>
    <col min="3" max="3" width="14.2222222222222" customWidth="1"/>
    <col min="4" max="4" width="14.6666666666667" customWidth="1"/>
    <col min="5" max="5" width="13.6388888888889" customWidth="1"/>
    <col min="6" max="6" width="25.2407407407407" customWidth="1"/>
    <col min="7" max="7" width="16.3425925925926" customWidth="1"/>
    <col min="8" max="8" width="19.5277777777778" customWidth="1"/>
    <col min="9" max="9" width="29.3611111111111" customWidth="1"/>
    <col min="10" max="10" width="15.0740740740741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3" t="s">
        <v>1</v>
      </c>
      <c r="B2" s="3" t="s">
        <v>2</v>
      </c>
      <c r="C2" s="3"/>
      <c r="D2" s="3"/>
      <c r="E2" s="3" t="s">
        <v>3</v>
      </c>
      <c r="F2" s="3"/>
      <c r="G2" s="3"/>
      <c r="H2" s="3"/>
      <c r="I2" s="3"/>
      <c r="J2" s="3"/>
      <c r="K2" s="3"/>
      <c r="L2" s="3"/>
      <c r="M2" s="3"/>
    </row>
    <row r="3" spans="1:13">
      <c r="A3" s="3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t="s">
        <v>16</v>
      </c>
    </row>
    <row r="6" spans="1:11">
      <c r="A6" s="3" t="s">
        <v>17</v>
      </c>
      <c r="B6" s="3">
        <v>0.485</v>
      </c>
      <c r="C6" s="3">
        <v>0.0397</v>
      </c>
      <c r="D6" s="3">
        <v>0.195</v>
      </c>
      <c r="E6" s="4">
        <v>0.1622</v>
      </c>
      <c r="F6" s="9">
        <v>0.1983</v>
      </c>
      <c r="G6" s="3">
        <f t="shared" ref="G6:G9" si="0">F6-E6</f>
        <v>0.0361</v>
      </c>
      <c r="H6" s="3">
        <f t="shared" ref="H6:H9" si="1">G6/F6</f>
        <v>0.182047402924861</v>
      </c>
      <c r="I6" s="6">
        <f>SQRT(SUMSQ(G6:G9)/COUNTA(G6:G9))</f>
        <v>0.0201982672524155</v>
      </c>
      <c r="J6" s="3">
        <f>CORREL(E6:E9,F6:F9)</f>
        <v>0.976536182643802</v>
      </c>
      <c r="K6" s="7">
        <f>J6*J6</f>
        <v>0.953622916012529</v>
      </c>
    </row>
    <row r="7" spans="1:10">
      <c r="A7" s="3" t="s">
        <v>18</v>
      </c>
      <c r="B7" s="3">
        <v>0.555</v>
      </c>
      <c r="C7" s="3">
        <v>0.0268</v>
      </c>
      <c r="D7" s="3">
        <v>0.2368</v>
      </c>
      <c r="E7" s="4">
        <v>0.2099</v>
      </c>
      <c r="F7" s="9">
        <v>0.2188</v>
      </c>
      <c r="G7" s="3">
        <f t="shared" si="0"/>
        <v>0.00889999999999999</v>
      </c>
      <c r="H7" s="3">
        <f t="shared" si="1"/>
        <v>0.0406764168190128</v>
      </c>
      <c r="I7" s="3" t="s">
        <v>19</v>
      </c>
      <c r="J7" s="3"/>
    </row>
    <row r="8" spans="1:10">
      <c r="A8" s="3" t="s">
        <v>20</v>
      </c>
      <c r="B8" s="3">
        <v>0.66</v>
      </c>
      <c r="C8" s="3">
        <v>0.016</v>
      </c>
      <c r="D8" s="3">
        <v>0.2437</v>
      </c>
      <c r="E8" s="4">
        <v>0.223</v>
      </c>
      <c r="F8" s="9">
        <v>0.2369</v>
      </c>
      <c r="G8" s="3">
        <f t="shared" si="0"/>
        <v>0.0139</v>
      </c>
      <c r="H8" s="3">
        <f t="shared" si="1"/>
        <v>0.0586745462220346</v>
      </c>
      <c r="I8" s="6">
        <f>SUMPRODUCT(ABS(H6:H9))/COUNT(H6:H9)</f>
        <v>0.0774491749825789</v>
      </c>
      <c r="J8" s="3"/>
    </row>
    <row r="9" spans="1:10">
      <c r="A9" s="3" t="s">
        <v>21</v>
      </c>
      <c r="B9" s="3">
        <v>0.83</v>
      </c>
      <c r="C9" s="3">
        <v>0.0462</v>
      </c>
      <c r="D9" s="3">
        <v>0.2558</v>
      </c>
      <c r="E9" s="4">
        <v>0.2566</v>
      </c>
      <c r="F9" s="9">
        <v>0.2641</v>
      </c>
      <c r="G9" s="3">
        <f t="shared" si="0"/>
        <v>0.00750000000000001</v>
      </c>
      <c r="H9" s="3">
        <f t="shared" si="1"/>
        <v>0.0283983339644074</v>
      </c>
      <c r="I9" s="3"/>
      <c r="J9" s="3"/>
    </row>
    <row r="10" spans="1:13">
      <c r="A10" s="3"/>
      <c r="B10" s="3"/>
      <c r="E10" s="3"/>
      <c r="F10" s="3"/>
      <c r="G10" s="3"/>
      <c r="H10" s="3">
        <f>AVERAGE(H6:H9)</f>
        <v>0.0774491749825789</v>
      </c>
      <c r="I10" s="3"/>
      <c r="J10" s="3"/>
      <c r="K10" s="3"/>
      <c r="L10" s="3"/>
      <c r="M10" s="3"/>
    </row>
    <row r="11" spans="1:13">
      <c r="A11" s="3"/>
      <c r="B11" s="3"/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t="s">
        <v>27</v>
      </c>
      <c r="I11" s="3" t="s">
        <v>28</v>
      </c>
      <c r="J11" s="3" t="s">
        <v>29</v>
      </c>
      <c r="K11" t="s">
        <v>16</v>
      </c>
      <c r="L11" s="3"/>
      <c r="M11" s="3"/>
    </row>
    <row r="12" spans="1:13">
      <c r="A12" s="3"/>
      <c r="B12" s="3"/>
      <c r="C12" s="3">
        <f t="shared" ref="C12:F12" si="2">(C9-C8)/(C9+C8)</f>
        <v>0.485530546623794</v>
      </c>
      <c r="D12" s="3">
        <f t="shared" si="2"/>
        <v>0.0242242242242243</v>
      </c>
      <c r="E12" s="3">
        <f t="shared" si="2"/>
        <v>0.0700583819849875</v>
      </c>
      <c r="F12" s="3">
        <f t="shared" si="2"/>
        <v>0.0542914171656687</v>
      </c>
      <c r="G12" s="3">
        <f>D6-F6</f>
        <v>-0.0033</v>
      </c>
      <c r="H12" s="3">
        <f>ABS(G12/F6)</f>
        <v>0.0166414523449319</v>
      </c>
      <c r="I12" s="3">
        <f>SQRT(SUMSQ(G12:G15)/COUNTA(G12:G15))</f>
        <v>0.0106068374174397</v>
      </c>
      <c r="J12" s="3">
        <f>CORREL(D6:D9,F6:F9)</f>
        <v>0.909715793204529</v>
      </c>
      <c r="K12" s="7">
        <f>J12*J12</f>
        <v>0.827582824405745</v>
      </c>
      <c r="L12" s="3"/>
      <c r="M12" s="3"/>
    </row>
    <row r="13" spans="1:13">
      <c r="A13" s="3"/>
      <c r="B13" s="3"/>
      <c r="C13" s="3"/>
      <c r="D13" s="3"/>
      <c r="E13" s="3"/>
      <c r="F13" s="3"/>
      <c r="G13" s="3">
        <f t="shared" ref="G12:G15" si="3">D7-F7</f>
        <v>0.018</v>
      </c>
      <c r="H13" s="3">
        <f>ABS(G13/F7)</f>
        <v>0.0822669104204753</v>
      </c>
      <c r="I13" s="3" t="s">
        <v>30</v>
      </c>
      <c r="J13" s="3"/>
      <c r="K13" s="3"/>
      <c r="L13" s="3"/>
      <c r="M13" s="3"/>
    </row>
    <row r="14" spans="1:13">
      <c r="A14" s="3"/>
      <c r="B14" s="3"/>
      <c r="C14" s="3"/>
      <c r="D14" s="3"/>
      <c r="E14" s="3"/>
      <c r="F14" s="3"/>
      <c r="G14" s="3">
        <f t="shared" si="3"/>
        <v>0.0068</v>
      </c>
      <c r="H14" s="3">
        <f>ABS(G14/F8)</f>
        <v>0.0287040945546644</v>
      </c>
      <c r="I14" s="3">
        <f>SUMPRODUCT(ABS(H12:H15))/COUNT(H12:H15)</f>
        <v>0.0397599867268373</v>
      </c>
      <c r="J14" s="3"/>
      <c r="K14" s="3"/>
      <c r="L14" s="3"/>
      <c r="M14" s="3"/>
    </row>
    <row r="15" spans="1:13">
      <c r="A15" s="3"/>
      <c r="B15" s="3"/>
      <c r="C15" s="3"/>
      <c r="D15" s="3"/>
      <c r="E15" s="3"/>
      <c r="F15" s="3"/>
      <c r="G15" s="3">
        <f t="shared" si="3"/>
        <v>-0.00829999999999997</v>
      </c>
      <c r="H15" s="3">
        <f>ABS(G15/F9)</f>
        <v>0.0314274895872774</v>
      </c>
      <c r="I15" s="3"/>
      <c r="J15" s="3"/>
      <c r="K15" s="3"/>
      <c r="L15" s="3"/>
      <c r="M15" s="3"/>
    </row>
    <row r="16" spans="1:13">
      <c r="A16" s="3"/>
      <c r="B16" s="3"/>
      <c r="C16" s="3"/>
      <c r="D16" s="3"/>
      <c r="E16" s="3"/>
      <c r="F16" s="3"/>
      <c r="G16" s="3"/>
      <c r="H16" s="3">
        <f>AVERAGE(H12:H15)</f>
        <v>0.0397599867268373</v>
      </c>
      <c r="I16" s="3"/>
      <c r="J16" s="3"/>
      <c r="K16" s="3"/>
      <c r="L16" s="3"/>
      <c r="M16" s="3"/>
    </row>
    <row r="17" spans="1:1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4">
      <c r="A18" s="3" t="s">
        <v>1</v>
      </c>
      <c r="B18" s="3" t="s">
        <v>31</v>
      </c>
      <c r="C18" s="3"/>
      <c r="D18" s="3" t="s">
        <v>32</v>
      </c>
    </row>
    <row r="19" spans="1:4">
      <c r="A19" s="3" t="s">
        <v>4</v>
      </c>
      <c r="B19" s="3" t="s">
        <v>33</v>
      </c>
      <c r="C19" s="3"/>
      <c r="D19" s="3"/>
    </row>
    <row r="21" spans="1:11">
      <c r="A21" s="3" t="s">
        <v>6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11</v>
      </c>
      <c r="G21" s="3" t="s">
        <v>12</v>
      </c>
      <c r="H21" s="3" t="s">
        <v>13</v>
      </c>
      <c r="I21" s="3" t="s">
        <v>14</v>
      </c>
      <c r="J21" s="3" t="s">
        <v>15</v>
      </c>
      <c r="K21" t="s">
        <v>16</v>
      </c>
    </row>
    <row r="22" spans="1:11">
      <c r="A22" s="3" t="s">
        <v>17</v>
      </c>
      <c r="B22" s="3">
        <v>0.485</v>
      </c>
      <c r="C22" s="3">
        <v>0.0441</v>
      </c>
      <c r="D22" s="3">
        <v>0.0626</v>
      </c>
      <c r="E22" s="3">
        <v>0.0564</v>
      </c>
      <c r="F22" s="3">
        <v>0.0434</v>
      </c>
      <c r="G22" s="3">
        <f>F22-E22</f>
        <v>-0.013</v>
      </c>
      <c r="H22" s="3">
        <f t="shared" ref="H22:H25" si="4">G22/F22</f>
        <v>-0.299539170506912</v>
      </c>
      <c r="I22" s="6">
        <f>SQRT(SUMSQ(G22:G25)/COUNTA(G22:G25))</f>
        <v>0.0472670604120883</v>
      </c>
      <c r="J22" s="3">
        <f>CORREL(E22:E25,F22:F25)</f>
        <v>0.999983368593652</v>
      </c>
      <c r="K22" s="7">
        <f>J22*J22</f>
        <v>0.999966737463907</v>
      </c>
    </row>
    <row r="23" spans="1:10">
      <c r="A23" s="3" t="s">
        <v>18</v>
      </c>
      <c r="B23" s="3">
        <v>0.555</v>
      </c>
      <c r="C23" s="3">
        <v>0.0389</v>
      </c>
      <c r="D23" s="3">
        <v>0.1307</v>
      </c>
      <c r="E23" s="3">
        <v>0.1067</v>
      </c>
      <c r="F23" s="3">
        <v>0.1106</v>
      </c>
      <c r="G23" s="3">
        <f t="shared" ref="G22:G25" si="5">F23-E23</f>
        <v>0.0039</v>
      </c>
      <c r="H23" s="3">
        <f t="shared" si="4"/>
        <v>0.0352622061482821</v>
      </c>
      <c r="I23" s="3" t="s">
        <v>19</v>
      </c>
      <c r="J23" s="3"/>
    </row>
    <row r="24" spans="1:10">
      <c r="A24" s="3" t="s">
        <v>20</v>
      </c>
      <c r="B24" s="3">
        <v>0.66</v>
      </c>
      <c r="C24" s="3">
        <v>0.0225</v>
      </c>
      <c r="D24" s="3">
        <v>0.085</v>
      </c>
      <c r="E24" s="3">
        <v>0.0797</v>
      </c>
      <c r="F24" s="3">
        <v>0.0765</v>
      </c>
      <c r="G24" s="3">
        <f t="shared" si="5"/>
        <v>-0.00319999999999999</v>
      </c>
      <c r="H24" s="3">
        <f t="shared" si="4"/>
        <v>-0.0418300653594771</v>
      </c>
      <c r="I24" s="6">
        <f>SUMPRODUCT(ABS(H22:H25))/COUNT(H22:H25)</f>
        <v>0.140198829579894</v>
      </c>
      <c r="J24" s="3"/>
    </row>
    <row r="25" spans="1:10">
      <c r="A25" s="3" t="s">
        <v>21</v>
      </c>
      <c r="B25" s="3">
        <v>0.83</v>
      </c>
      <c r="C25" s="3">
        <v>0.0583</v>
      </c>
      <c r="D25" s="3">
        <v>0.4329</v>
      </c>
      <c r="E25" s="3">
        <v>0.4142</v>
      </c>
      <c r="F25" s="3">
        <v>0.5077</v>
      </c>
      <c r="G25" s="3">
        <f t="shared" si="5"/>
        <v>0.0935</v>
      </c>
      <c r="H25" s="3">
        <f t="shared" si="4"/>
        <v>0.184163876304905</v>
      </c>
      <c r="I25" s="3"/>
      <c r="J25" s="3"/>
    </row>
    <row r="26" spans="1:10">
      <c r="A26" s="3"/>
      <c r="B26" s="3"/>
      <c r="E26" s="3"/>
      <c r="F26" s="3"/>
      <c r="G26" s="3"/>
      <c r="H26" s="3"/>
      <c r="I26" s="3"/>
      <c r="J26" s="3"/>
    </row>
    <row r="27" spans="1:11">
      <c r="A27" s="3"/>
      <c r="B27" s="3"/>
      <c r="C27" s="3" t="s">
        <v>22</v>
      </c>
      <c r="D27" s="3" t="s">
        <v>23</v>
      </c>
      <c r="E27" s="3" t="s">
        <v>24</v>
      </c>
      <c r="F27" s="3" t="s">
        <v>25</v>
      </c>
      <c r="G27" s="3" t="s">
        <v>26</v>
      </c>
      <c r="H27" t="s">
        <v>27</v>
      </c>
      <c r="I27" s="3" t="s">
        <v>28</v>
      </c>
      <c r="J27" s="3" t="s">
        <v>29</v>
      </c>
      <c r="K27" t="s">
        <v>16</v>
      </c>
    </row>
    <row r="28" spans="1:11">
      <c r="A28" s="3"/>
      <c r="B28" s="3"/>
      <c r="C28" s="3">
        <f t="shared" ref="C28:F28" si="6">(C25-C24)/(C25+C24)</f>
        <v>0.443069306930693</v>
      </c>
      <c r="D28" s="3">
        <f t="shared" si="6"/>
        <v>0.671751303340413</v>
      </c>
      <c r="E28" s="3">
        <f t="shared" si="6"/>
        <v>0.677262603765945</v>
      </c>
      <c r="F28" s="3">
        <f t="shared" si="6"/>
        <v>0.738103389250257</v>
      </c>
      <c r="G28" s="3">
        <f t="shared" ref="G28:G31" si="7">D22-F22</f>
        <v>0.0192</v>
      </c>
      <c r="H28" s="3">
        <f t="shared" ref="H28:H31" si="8">G28/F22</f>
        <v>0.442396313364055</v>
      </c>
      <c r="I28" s="3">
        <f>SQRT(SUMSQ(G28:G31)/COUNTA(G28:G31))</f>
        <v>0.0401246183782476</v>
      </c>
      <c r="J28" s="3">
        <f>CORREL(D22:D25,F22:F25)</f>
        <v>0.998901082846618</v>
      </c>
      <c r="K28" s="7">
        <f>J28*J28</f>
        <v>0.997803373312147</v>
      </c>
    </row>
    <row r="29" spans="1:10">
      <c r="A29" s="3"/>
      <c r="B29" s="3"/>
      <c r="C29" s="3"/>
      <c r="D29" s="3"/>
      <c r="E29" s="3"/>
      <c r="F29" s="3"/>
      <c r="G29" s="3">
        <f t="shared" si="7"/>
        <v>0.0201</v>
      </c>
      <c r="H29" s="3">
        <f t="shared" si="8"/>
        <v>0.181735985533454</v>
      </c>
      <c r="I29" s="3" t="s">
        <v>30</v>
      </c>
      <c r="J29" s="3"/>
    </row>
    <row r="30" spans="1:10">
      <c r="A30" s="3"/>
      <c r="B30" s="3"/>
      <c r="C30" s="3"/>
      <c r="D30" s="3"/>
      <c r="E30" s="3"/>
      <c r="F30" s="3"/>
      <c r="G30" s="3">
        <f t="shared" si="7"/>
        <v>0.00850000000000001</v>
      </c>
      <c r="H30" s="3">
        <f t="shared" si="8"/>
        <v>0.111111111111111</v>
      </c>
      <c r="I30" s="3">
        <f>SUMPRODUCT(ABS(H28:H31))/COUNT(H28:H31)</f>
        <v>0.220643627763136</v>
      </c>
      <c r="J30" s="3"/>
    </row>
    <row r="31" spans="1:10">
      <c r="A31" s="3"/>
      <c r="B31" s="3"/>
      <c r="C31" s="3"/>
      <c r="D31" s="3"/>
      <c r="E31" s="3"/>
      <c r="F31" s="3"/>
      <c r="G31" s="3">
        <f t="shared" si="7"/>
        <v>-0.0748</v>
      </c>
      <c r="H31" s="3">
        <f t="shared" si="8"/>
        <v>-0.147331101043924</v>
      </c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4" spans="1:5">
      <c r="A34" s="3"/>
      <c r="B34" s="3"/>
      <c r="C34" s="3"/>
      <c r="D34" s="3"/>
      <c r="E34" s="3"/>
    </row>
    <row r="35" spans="1:5">
      <c r="A35" s="3" t="s">
        <v>1</v>
      </c>
      <c r="B35" s="3" t="s">
        <v>34</v>
      </c>
      <c r="C35" s="3"/>
      <c r="D35" s="3" t="s">
        <v>35</v>
      </c>
      <c r="E35" s="3"/>
    </row>
    <row r="36" spans="1:5">
      <c r="A36" s="3" t="s">
        <v>4</v>
      </c>
      <c r="B36" s="3" t="s">
        <v>36</v>
      </c>
      <c r="C36" s="3"/>
      <c r="D36" s="3"/>
      <c r="E36" s="3"/>
    </row>
    <row r="37" spans="1:5">
      <c r="A37" s="3"/>
      <c r="B37" s="3"/>
      <c r="C37" s="3"/>
      <c r="D37" s="3"/>
      <c r="E37" s="3"/>
    </row>
    <row r="38" spans="1:10">
      <c r="A38" s="3" t="s">
        <v>6</v>
      </c>
      <c r="B38" s="3" t="s">
        <v>7</v>
      </c>
      <c r="C38" s="3" t="s">
        <v>8</v>
      </c>
      <c r="D38" s="3" t="s">
        <v>9</v>
      </c>
      <c r="E38" s="3" t="s">
        <v>10</v>
      </c>
      <c r="F38" s="3" t="s">
        <v>11</v>
      </c>
      <c r="G38" s="3" t="s">
        <v>12</v>
      </c>
      <c r="H38" s="3" t="s">
        <v>13</v>
      </c>
      <c r="I38" s="3" t="s">
        <v>14</v>
      </c>
      <c r="J38" s="3" t="s">
        <v>15</v>
      </c>
    </row>
    <row r="39" spans="1:10">
      <c r="A39" s="3" t="s">
        <v>17</v>
      </c>
      <c r="B39" s="3">
        <v>0.485</v>
      </c>
      <c r="C39" s="3">
        <v>0.0394</v>
      </c>
      <c r="D39" s="3">
        <v>0.0444</v>
      </c>
      <c r="E39" s="3">
        <v>0.0372</v>
      </c>
      <c r="F39" s="3">
        <v>0.0391</v>
      </c>
      <c r="G39" s="3">
        <f t="shared" ref="G39:G42" si="9">F39-E39</f>
        <v>0.00190000000000001</v>
      </c>
      <c r="H39" s="3">
        <f t="shared" ref="H39:H42" si="10">G39/F39</f>
        <v>0.0485933503836319</v>
      </c>
      <c r="I39" s="6">
        <f>SQRT(SUMSQ(G39:G42)/COUNTA(G39:G42))</f>
        <v>0.0328881057526882</v>
      </c>
      <c r="J39" s="3">
        <f>CORREL(E39:E42,F39:F42)</f>
        <v>-0.122429338785294</v>
      </c>
    </row>
    <row r="40" spans="1:10">
      <c r="A40" s="3" t="s">
        <v>18</v>
      </c>
      <c r="B40" s="3">
        <v>0.555</v>
      </c>
      <c r="C40" s="3">
        <v>0.0267</v>
      </c>
      <c r="D40" s="3">
        <v>0.0446</v>
      </c>
      <c r="E40" s="3">
        <v>0.0418</v>
      </c>
      <c r="F40" s="3">
        <v>0.0821</v>
      </c>
      <c r="G40" s="3">
        <f t="shared" si="9"/>
        <v>0.0403</v>
      </c>
      <c r="H40" s="3">
        <f t="shared" si="10"/>
        <v>0.490864799025579</v>
      </c>
      <c r="I40" s="3" t="s">
        <v>19</v>
      </c>
      <c r="J40" s="3"/>
    </row>
    <row r="41" spans="1:10">
      <c r="A41" s="3" t="s">
        <v>20</v>
      </c>
      <c r="B41" s="3">
        <v>0.66</v>
      </c>
      <c r="C41" s="3">
        <v>0.0158</v>
      </c>
      <c r="D41" s="3">
        <v>0.0214</v>
      </c>
      <c r="E41" s="3">
        <v>0.0228</v>
      </c>
      <c r="F41" s="3">
        <v>0.0728</v>
      </c>
      <c r="G41" s="3">
        <f t="shared" si="9"/>
        <v>0.05</v>
      </c>
      <c r="H41" s="3">
        <f t="shared" si="10"/>
        <v>0.686813186813187</v>
      </c>
      <c r="I41" s="6">
        <f>SUMPRODUCT(ABS(H39:H42))/COUNT(H39:H42)</f>
        <v>0.376927115492725</v>
      </c>
      <c r="J41" s="3"/>
    </row>
    <row r="42" spans="1:10">
      <c r="A42" s="3" t="s">
        <v>21</v>
      </c>
      <c r="B42" s="3">
        <v>0.83</v>
      </c>
      <c r="C42" s="3">
        <v>0.0449</v>
      </c>
      <c r="D42" s="3">
        <v>0.0244</v>
      </c>
      <c r="E42" s="3">
        <v>0.036</v>
      </c>
      <c r="F42" s="3">
        <v>0.0501</v>
      </c>
      <c r="G42" s="3">
        <f t="shared" si="9"/>
        <v>0.0141</v>
      </c>
      <c r="H42" s="3">
        <f t="shared" si="10"/>
        <v>0.281437125748503</v>
      </c>
      <c r="I42" s="3"/>
      <c r="J42" s="3"/>
    </row>
    <row r="43" spans="1:10">
      <c r="A43" s="3"/>
      <c r="B43" s="3"/>
      <c r="E43" s="3"/>
      <c r="F43" s="3"/>
      <c r="G43" s="3"/>
      <c r="H43" s="3"/>
      <c r="I43" s="3"/>
      <c r="J43" s="3"/>
    </row>
    <row r="44" spans="1:10">
      <c r="A44" s="3"/>
      <c r="B44" s="3"/>
      <c r="C44" s="3" t="s">
        <v>22</v>
      </c>
      <c r="D44" s="3" t="s">
        <v>23</v>
      </c>
      <c r="E44" s="3" t="s">
        <v>24</v>
      </c>
      <c r="F44" s="3" t="s">
        <v>25</v>
      </c>
      <c r="G44" s="3" t="s">
        <v>26</v>
      </c>
      <c r="H44" t="s">
        <v>27</v>
      </c>
      <c r="I44" s="3" t="s">
        <v>28</v>
      </c>
      <c r="J44" s="3" t="s">
        <v>29</v>
      </c>
    </row>
    <row r="45" spans="1:10">
      <c r="A45" s="3"/>
      <c r="B45" s="3"/>
      <c r="C45" s="3">
        <f t="shared" ref="C45:F45" si="11">(C42-C41)/(C42+C41)</f>
        <v>0.479406919275124</v>
      </c>
      <c r="D45" s="3">
        <f t="shared" si="11"/>
        <v>0.0655021834061136</v>
      </c>
      <c r="E45" s="3">
        <f t="shared" si="11"/>
        <v>0.224489795918367</v>
      </c>
      <c r="F45" s="3">
        <f t="shared" si="11"/>
        <v>-0.184703010577705</v>
      </c>
      <c r="G45" s="3">
        <f t="shared" ref="G45:G48" si="12">D39-F39</f>
        <v>0.0053</v>
      </c>
      <c r="H45" s="3">
        <f t="shared" ref="H45:H48" si="13">G45/F39</f>
        <v>0.135549872122762</v>
      </c>
      <c r="I45" s="3">
        <f>SQRT(SUMSQ(G45:G48)/COUNTA(G45:G48))</f>
        <v>0.0344121708120833</v>
      </c>
      <c r="J45" s="3">
        <f>CORREL(D39:D42,F39:F42)</f>
        <v>-0.0644495625573877</v>
      </c>
    </row>
    <row r="46" spans="1:10">
      <c r="A46" s="3"/>
      <c r="B46" s="3"/>
      <c r="C46" s="3"/>
      <c r="D46" s="3"/>
      <c r="E46" s="3"/>
      <c r="F46" s="3"/>
      <c r="G46" s="3">
        <f t="shared" si="12"/>
        <v>-0.0375</v>
      </c>
      <c r="H46" s="3">
        <f t="shared" si="13"/>
        <v>-0.456760048721072</v>
      </c>
      <c r="I46" s="3" t="s">
        <v>30</v>
      </c>
      <c r="J46" s="3"/>
    </row>
    <row r="47" spans="1:10">
      <c r="A47" s="3"/>
      <c r="B47" s="3"/>
      <c r="C47" s="3"/>
      <c r="D47" s="3"/>
      <c r="E47" s="3"/>
      <c r="F47" s="3"/>
      <c r="G47" s="3">
        <f t="shared" si="12"/>
        <v>-0.0514</v>
      </c>
      <c r="H47" s="3">
        <f t="shared" si="13"/>
        <v>-0.706043956043956</v>
      </c>
      <c r="I47" s="3">
        <f>SUMPRODUCT(ABS(H45:H48))/COUNT(H45:H48)</f>
        <v>0.452831982195999</v>
      </c>
      <c r="J47" s="3"/>
    </row>
    <row r="48" spans="1:10">
      <c r="A48" s="3"/>
      <c r="B48" s="3"/>
      <c r="C48" s="3"/>
      <c r="D48" s="3"/>
      <c r="E48" s="3"/>
      <c r="F48" s="3"/>
      <c r="G48" s="3">
        <f t="shared" si="12"/>
        <v>-0.0257</v>
      </c>
      <c r="H48" s="3">
        <f t="shared" si="13"/>
        <v>-0.512974051896208</v>
      </c>
      <c r="I48" s="3"/>
      <c r="J48" s="3"/>
    </row>
    <row r="49" spans="1:12">
      <c r="A49" s="1" t="s">
        <v>37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2" t="s">
        <v>1</v>
      </c>
      <c r="B50" s="2" t="s">
        <v>38</v>
      </c>
      <c r="C50" s="2"/>
      <c r="D50" s="2" t="s">
        <v>3</v>
      </c>
      <c r="E50" s="2"/>
      <c r="F50" s="2"/>
      <c r="G50" s="2"/>
      <c r="H50" s="2"/>
      <c r="I50" s="2"/>
      <c r="J50" s="2"/>
      <c r="K50" s="2"/>
      <c r="L50" s="2"/>
    </row>
    <row r="51" spans="1:12">
      <c r="A51" s="2" t="s">
        <v>4</v>
      </c>
      <c r="B51" s="2" t="s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</row>
    <row r="53" spans="1:10">
      <c r="A53" s="3" t="s">
        <v>6</v>
      </c>
      <c r="B53" s="3" t="s">
        <v>7</v>
      </c>
      <c r="C53" s="3" t="s">
        <v>8</v>
      </c>
      <c r="D53" s="3" t="s">
        <v>9</v>
      </c>
      <c r="E53" s="3" t="s">
        <v>10</v>
      </c>
      <c r="F53" s="3" t="s">
        <v>11</v>
      </c>
      <c r="G53" s="3" t="s">
        <v>12</v>
      </c>
      <c r="H53" s="3" t="s">
        <v>13</v>
      </c>
      <c r="I53" s="3" t="s">
        <v>14</v>
      </c>
      <c r="J53" s="3" t="s">
        <v>15</v>
      </c>
    </row>
    <row r="54" spans="1:10">
      <c r="A54" s="3" t="s">
        <v>17</v>
      </c>
      <c r="B54" s="3">
        <v>0.485</v>
      </c>
      <c r="C54" s="3">
        <v>0.0544</v>
      </c>
      <c r="D54" s="3">
        <v>0.1242</v>
      </c>
      <c r="E54" s="5">
        <v>0.1046</v>
      </c>
      <c r="F54" s="3">
        <v>0.119</v>
      </c>
      <c r="G54" s="3">
        <f t="shared" ref="G54:G57" si="14">F54-E54</f>
        <v>0.0144</v>
      </c>
      <c r="H54" s="3">
        <f t="shared" ref="H54:H57" si="15">G54/F54</f>
        <v>0.121008403361345</v>
      </c>
      <c r="I54" s="6">
        <f>SQRT(SUMSQ(G54:G57)/COUNTA(G54:G57))</f>
        <v>0.0195494884843568</v>
      </c>
      <c r="J54" s="3">
        <f>CORREL(E54:E57,F54:F57)</f>
        <v>0.925411290153635</v>
      </c>
    </row>
    <row r="55" spans="1:10">
      <c r="A55" s="3" t="s">
        <v>18</v>
      </c>
      <c r="B55" s="3">
        <v>0.555</v>
      </c>
      <c r="C55" s="3">
        <v>0.0444</v>
      </c>
      <c r="D55" s="3">
        <v>0.1441</v>
      </c>
      <c r="E55" s="5">
        <v>0.1252</v>
      </c>
      <c r="F55" s="5">
        <v>0.1254</v>
      </c>
      <c r="G55" s="3">
        <f t="shared" si="14"/>
        <v>0.000200000000000006</v>
      </c>
      <c r="H55" s="3">
        <f t="shared" si="15"/>
        <v>0.00159489633173848</v>
      </c>
      <c r="I55" s="3" t="s">
        <v>19</v>
      </c>
      <c r="J55" s="3"/>
    </row>
    <row r="56" spans="1:10">
      <c r="A56" s="3" t="s">
        <v>20</v>
      </c>
      <c r="B56" s="3">
        <v>0.66</v>
      </c>
      <c r="C56" s="3">
        <v>0.0355</v>
      </c>
      <c r="D56" s="3">
        <v>0.1356</v>
      </c>
      <c r="E56" s="5">
        <v>0.1234</v>
      </c>
      <c r="F56" s="5">
        <v>0.1297</v>
      </c>
      <c r="G56" s="3">
        <f t="shared" si="14"/>
        <v>0.00630000000000001</v>
      </c>
      <c r="H56" s="3">
        <f t="shared" si="15"/>
        <v>0.048573631457209</v>
      </c>
      <c r="I56" s="6">
        <f>SUMPRODUCT(ABS(H54:H57))/COUNT(H54:H57)</f>
        <v>0.108506420746457</v>
      </c>
      <c r="J56" s="3"/>
    </row>
    <row r="57" spans="1:10">
      <c r="A57" s="3" t="s">
        <v>21</v>
      </c>
      <c r="B57" s="3">
        <v>0.83</v>
      </c>
      <c r="C57" s="3">
        <v>0.0271</v>
      </c>
      <c r="D57" s="3">
        <v>0.167</v>
      </c>
      <c r="E57" s="2">
        <v>0.172</v>
      </c>
      <c r="F57" s="5">
        <v>0.1362</v>
      </c>
      <c r="G57" s="3">
        <f t="shared" si="14"/>
        <v>-0.0358</v>
      </c>
      <c r="H57" s="3">
        <f t="shared" si="15"/>
        <v>-0.262848751835536</v>
      </c>
      <c r="I57" s="3"/>
      <c r="J57" s="3"/>
    </row>
    <row r="58" spans="1:10">
      <c r="A58" s="3"/>
      <c r="B58" s="3"/>
      <c r="E58" s="3"/>
      <c r="F58" s="3"/>
      <c r="G58" s="3"/>
      <c r="H58" s="3"/>
      <c r="I58" s="3"/>
      <c r="J58" s="3"/>
    </row>
    <row r="59" spans="1:10">
      <c r="A59" s="3"/>
      <c r="B59" s="3"/>
      <c r="C59" s="3" t="s">
        <v>22</v>
      </c>
      <c r="D59" s="3" t="s">
        <v>23</v>
      </c>
      <c r="E59" s="3" t="s">
        <v>24</v>
      </c>
      <c r="F59" s="3" t="s">
        <v>25</v>
      </c>
      <c r="G59" s="3" t="s">
        <v>26</v>
      </c>
      <c r="H59" t="s">
        <v>27</v>
      </c>
      <c r="I59" s="3" t="s">
        <v>28</v>
      </c>
      <c r="J59" s="3" t="s">
        <v>29</v>
      </c>
    </row>
    <row r="60" spans="1:10">
      <c r="A60" s="3"/>
      <c r="B60" s="3"/>
      <c r="C60" s="3">
        <f t="shared" ref="C60:F60" si="16">(C57-C56)/(C57+C56)</f>
        <v>-0.134185303514377</v>
      </c>
      <c r="D60" s="3">
        <f t="shared" si="16"/>
        <v>0.103767349636484</v>
      </c>
      <c r="E60" s="3">
        <f t="shared" si="16"/>
        <v>0.164522681110359</v>
      </c>
      <c r="F60" s="3">
        <f t="shared" si="16"/>
        <v>0.0244452801805189</v>
      </c>
      <c r="G60" s="3">
        <f t="shared" ref="G60:G63" si="17">D54-F54</f>
        <v>0.00520000000000001</v>
      </c>
      <c r="H60" s="3">
        <f t="shared" ref="H60:H63" si="18">G60/F54</f>
        <v>0.0436974789915967</v>
      </c>
      <c r="I60" s="3">
        <f>SQRT(SUMSQ(G60:G63)/COUNTA(G60:G63))</f>
        <v>0.0184403091080383</v>
      </c>
      <c r="J60" s="3">
        <f>CORREL(D54:D57,F54:F57)</f>
        <v>0.889732842161188</v>
      </c>
    </row>
    <row r="61" spans="3:10">
      <c r="C61" s="3"/>
      <c r="D61" s="3"/>
      <c r="E61" s="3"/>
      <c r="F61" s="3"/>
      <c r="G61" s="3">
        <f t="shared" si="17"/>
        <v>0.0187</v>
      </c>
      <c r="H61" s="3">
        <f t="shared" si="18"/>
        <v>0.149122807017544</v>
      </c>
      <c r="I61" s="3" t="s">
        <v>30</v>
      </c>
      <c r="J61" s="3"/>
    </row>
    <row r="62" spans="3:10">
      <c r="C62" s="3"/>
      <c r="D62" s="3"/>
      <c r="E62" s="3"/>
      <c r="F62" s="3"/>
      <c r="G62" s="3">
        <f t="shared" si="17"/>
        <v>0.00589999999999999</v>
      </c>
      <c r="H62" s="3">
        <f t="shared" si="18"/>
        <v>0.0454895913646877</v>
      </c>
      <c r="I62" s="3">
        <f>SUMPRODUCT(ABS(H60:H63))/COUNT(H60:H63)</f>
        <v>0.116111977419815</v>
      </c>
      <c r="J62" s="3"/>
    </row>
    <row r="63" spans="3:10">
      <c r="C63" s="3"/>
      <c r="D63" s="3"/>
      <c r="E63" s="3"/>
      <c r="F63" s="3"/>
      <c r="G63" s="3">
        <f t="shared" si="17"/>
        <v>0.0308</v>
      </c>
      <c r="H63" s="3">
        <f t="shared" si="18"/>
        <v>0.226138032305433</v>
      </c>
      <c r="I63" s="3"/>
      <c r="J63" s="3"/>
    </row>
    <row r="65" spans="1:6">
      <c r="A65" s="2" t="s">
        <v>1</v>
      </c>
      <c r="B65" s="2" t="s">
        <v>39</v>
      </c>
      <c r="C65" s="2"/>
      <c r="D65" s="2" t="s">
        <v>40</v>
      </c>
      <c r="E65" s="2"/>
      <c r="F65" s="2"/>
    </row>
    <row r="66" spans="1:6">
      <c r="A66" s="2" t="s">
        <v>4</v>
      </c>
      <c r="B66" s="2" t="s">
        <v>41</v>
      </c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10">
      <c r="A68" s="3" t="s">
        <v>6</v>
      </c>
      <c r="B68" s="3" t="s">
        <v>7</v>
      </c>
      <c r="C68" s="3" t="s">
        <v>8</v>
      </c>
      <c r="D68" s="3" t="s">
        <v>9</v>
      </c>
      <c r="E68" s="3" t="s">
        <v>10</v>
      </c>
      <c r="F68" s="3" t="s">
        <v>11</v>
      </c>
      <c r="G68" s="3" t="s">
        <v>12</v>
      </c>
      <c r="H68" s="3" t="s">
        <v>13</v>
      </c>
      <c r="I68" s="3" t="s">
        <v>14</v>
      </c>
      <c r="J68" s="3" t="s">
        <v>15</v>
      </c>
    </row>
    <row r="69" spans="1:10">
      <c r="A69" s="3" t="s">
        <v>17</v>
      </c>
      <c r="B69" s="3">
        <v>0.485</v>
      </c>
      <c r="C69" s="3">
        <v>0.0405</v>
      </c>
      <c r="D69" s="3">
        <v>0.0689</v>
      </c>
      <c r="E69" s="4">
        <v>0.0519</v>
      </c>
      <c r="F69">
        <v>0.0389</v>
      </c>
      <c r="G69" s="3">
        <f t="shared" ref="G69:G72" si="19">F69-E69</f>
        <v>-0.013</v>
      </c>
      <c r="H69" s="3">
        <f t="shared" ref="H69:H72" si="20">G69/F69</f>
        <v>-0.334190231362468</v>
      </c>
      <c r="I69" s="6">
        <f>SQRT(SUMSQ(G69:G72)/COUNTA(G69:G72))</f>
        <v>0.0124749749498746</v>
      </c>
      <c r="J69" s="3">
        <f>CORREL(E69:E72,F69:F72)</f>
        <v>0.995544578513853</v>
      </c>
    </row>
    <row r="70" spans="1:10">
      <c r="A70" s="3" t="s">
        <v>18</v>
      </c>
      <c r="B70" s="3">
        <v>0.555</v>
      </c>
      <c r="C70" s="3">
        <v>0.0339</v>
      </c>
      <c r="D70" s="3">
        <v>0.0979</v>
      </c>
      <c r="E70" s="4">
        <v>0.0826</v>
      </c>
      <c r="F70">
        <v>0.0809</v>
      </c>
      <c r="G70" s="3">
        <f t="shared" si="19"/>
        <v>-0.00170000000000001</v>
      </c>
      <c r="H70" s="3">
        <f t="shared" si="20"/>
        <v>-0.0210135970333746</v>
      </c>
      <c r="I70" s="3" t="s">
        <v>19</v>
      </c>
      <c r="J70" s="3"/>
    </row>
    <row r="71" spans="1:10">
      <c r="A71" s="3" t="s">
        <v>20</v>
      </c>
      <c r="B71" s="3">
        <v>0.66</v>
      </c>
      <c r="C71" s="3">
        <v>0.0213</v>
      </c>
      <c r="D71" s="3">
        <v>0.0698</v>
      </c>
      <c r="E71" s="4">
        <v>0.0608</v>
      </c>
      <c r="F71">
        <v>0.0818</v>
      </c>
      <c r="G71" s="3">
        <f t="shared" si="19"/>
        <v>0.021</v>
      </c>
      <c r="H71" s="3">
        <f t="shared" si="20"/>
        <v>0.256723716381418</v>
      </c>
      <c r="I71" s="6">
        <f>SUMPRODUCT(ABS(H69:H72))/COUNT(H69:H72)</f>
        <v>0.155109253748529</v>
      </c>
      <c r="J71" s="3"/>
    </row>
    <row r="72" spans="1:10">
      <c r="A72" s="3" t="s">
        <v>21</v>
      </c>
      <c r="B72" s="3">
        <v>0.83</v>
      </c>
      <c r="C72" s="3">
        <v>0.0565</v>
      </c>
      <c r="D72" s="3">
        <v>0.392</v>
      </c>
      <c r="E72" s="4">
        <v>0.3612</v>
      </c>
      <c r="F72">
        <v>0.3643</v>
      </c>
      <c r="G72" s="3">
        <f t="shared" si="19"/>
        <v>0.00309999999999999</v>
      </c>
      <c r="H72" s="3">
        <f t="shared" si="20"/>
        <v>0.00850947021685422</v>
      </c>
      <c r="I72" s="3"/>
      <c r="J72" s="3"/>
    </row>
    <row r="73" spans="1:10">
      <c r="A73" s="3"/>
      <c r="B73" s="3"/>
      <c r="E73" s="3"/>
      <c r="F73" s="3"/>
      <c r="G73" s="3"/>
      <c r="H73" s="3"/>
      <c r="I73" s="3"/>
      <c r="J73" s="3"/>
    </row>
    <row r="74" spans="1:10">
      <c r="A74" s="3"/>
      <c r="B74" s="3"/>
      <c r="C74" s="3" t="s">
        <v>22</v>
      </c>
      <c r="D74" s="3" t="s">
        <v>23</v>
      </c>
      <c r="E74" s="3" t="s">
        <v>24</v>
      </c>
      <c r="F74" s="3" t="s">
        <v>25</v>
      </c>
      <c r="G74" s="3" t="s">
        <v>26</v>
      </c>
      <c r="H74" t="s">
        <v>27</v>
      </c>
      <c r="I74" s="3" t="s">
        <v>28</v>
      </c>
      <c r="J74" s="3" t="s">
        <v>29</v>
      </c>
    </row>
    <row r="75" spans="1:10">
      <c r="A75" s="3"/>
      <c r="B75" s="3"/>
      <c r="C75" s="3">
        <f t="shared" ref="C75:F75" si="21">(C72-C71)/(C72+C71)</f>
        <v>0.452442159383033</v>
      </c>
      <c r="D75" s="3">
        <f t="shared" si="21"/>
        <v>0.69770463404071</v>
      </c>
      <c r="E75" s="3">
        <f t="shared" si="21"/>
        <v>0.711848341232227</v>
      </c>
      <c r="F75" s="3">
        <f t="shared" si="21"/>
        <v>0.633266083837705</v>
      </c>
      <c r="G75" s="3">
        <f t="shared" ref="G75:G78" si="22">D69-F69</f>
        <v>0.03</v>
      </c>
      <c r="H75" s="3">
        <f t="shared" ref="H75:H78" si="23">G75/F69</f>
        <v>0.77120822622108</v>
      </c>
      <c r="I75" s="3">
        <f>SQRT(SUMSQ(G75:G78)/COUNTA(G75:G78))</f>
        <v>0.0229144604998678</v>
      </c>
      <c r="J75" s="3">
        <f>CORREL(D69:D72,F69:F72)</f>
        <v>0.993209561327899</v>
      </c>
    </row>
    <row r="76" spans="3:10">
      <c r="C76" s="3"/>
      <c r="D76" s="3"/>
      <c r="E76" s="3"/>
      <c r="F76" s="3"/>
      <c r="G76" s="3">
        <f t="shared" si="22"/>
        <v>0.017</v>
      </c>
      <c r="H76" s="3">
        <f t="shared" si="23"/>
        <v>0.210135970333745</v>
      </c>
      <c r="I76" s="3" t="s">
        <v>30</v>
      </c>
      <c r="J76" s="3"/>
    </row>
    <row r="77" spans="3:10">
      <c r="C77" s="3"/>
      <c r="D77" s="3"/>
      <c r="E77" s="3"/>
      <c r="F77" s="3"/>
      <c r="G77" s="3">
        <f t="shared" si="22"/>
        <v>-0.012</v>
      </c>
      <c r="H77" s="3">
        <f t="shared" si="23"/>
        <v>-0.146699266503667</v>
      </c>
      <c r="I77" s="3">
        <f>SUMPRODUCT(ABS(H75:H78))/COUNT(H75:H78)</f>
        <v>0.301019924232919</v>
      </c>
      <c r="J77" s="3"/>
    </row>
    <row r="78" spans="3:10">
      <c r="C78" s="3"/>
      <c r="D78" s="3"/>
      <c r="E78" s="3"/>
      <c r="F78" s="3"/>
      <c r="G78" s="3">
        <f t="shared" si="22"/>
        <v>0.0277</v>
      </c>
      <c r="H78" s="3">
        <f t="shared" si="23"/>
        <v>0.0760362338731815</v>
      </c>
      <c r="I78" s="3"/>
      <c r="J78" s="3"/>
    </row>
    <row r="80" spans="1:5">
      <c r="A80" s="2" t="s">
        <v>1</v>
      </c>
      <c r="B80" s="2" t="s">
        <v>42</v>
      </c>
      <c r="C80" s="2"/>
      <c r="D80" s="2" t="s">
        <v>32</v>
      </c>
      <c r="E80" s="2"/>
    </row>
    <row r="81" spans="1:5">
      <c r="A81" s="2" t="s">
        <v>4</v>
      </c>
      <c r="B81" s="2" t="s">
        <v>33</v>
      </c>
      <c r="C81" s="2"/>
      <c r="D81" s="2"/>
      <c r="E81" s="2"/>
    </row>
    <row r="83" spans="1:11">
      <c r="A83" s="3" t="s">
        <v>6</v>
      </c>
      <c r="B83" s="3" t="s">
        <v>7</v>
      </c>
      <c r="C83" s="3" t="s">
        <v>8</v>
      </c>
      <c r="D83" s="3" t="s">
        <v>9</v>
      </c>
      <c r="E83" s="3" t="s">
        <v>10</v>
      </c>
      <c r="F83" s="3" t="s">
        <v>11</v>
      </c>
      <c r="G83" s="3" t="s">
        <v>12</v>
      </c>
      <c r="H83" s="3" t="s">
        <v>13</v>
      </c>
      <c r="I83" s="3" t="s">
        <v>14</v>
      </c>
      <c r="J83" s="3" t="s">
        <v>15</v>
      </c>
      <c r="K83" t="s">
        <v>16</v>
      </c>
    </row>
    <row r="84" spans="1:11">
      <c r="A84" s="3" t="s">
        <v>17</v>
      </c>
      <c r="B84" s="3">
        <v>0.485</v>
      </c>
      <c r="C84" s="3">
        <v>0.0398</v>
      </c>
      <c r="D84" s="3">
        <v>0.0655</v>
      </c>
      <c r="E84" s="4">
        <v>0.0476</v>
      </c>
      <c r="F84" s="3">
        <v>0.0216</v>
      </c>
      <c r="G84" s="3">
        <f>E84-F84</f>
        <v>0.026</v>
      </c>
      <c r="H84" s="3">
        <f>G84/F84</f>
        <v>1.2037037037037</v>
      </c>
      <c r="I84" s="6">
        <f>SQRT(SUMSQ(G84:G87)/COUNTA(G84:G87))</f>
        <v>0.0469410534606969</v>
      </c>
      <c r="J84" s="3">
        <f>CORREL(E84:E87,F84:F87)</f>
        <v>0.996969006565379</v>
      </c>
      <c r="K84" s="7">
        <f>J84*J84</f>
        <v>0.993947200051959</v>
      </c>
    </row>
    <row r="85" spans="1:10">
      <c r="A85" s="3" t="s">
        <v>18</v>
      </c>
      <c r="B85" s="3">
        <v>0.555</v>
      </c>
      <c r="C85" s="3">
        <v>0.0388</v>
      </c>
      <c r="D85" s="3">
        <v>0.1237</v>
      </c>
      <c r="E85" s="4">
        <v>0.1043</v>
      </c>
      <c r="F85" s="5">
        <v>0.0551</v>
      </c>
      <c r="G85" s="3">
        <f>E85-F85</f>
        <v>0.0492</v>
      </c>
      <c r="H85" s="3">
        <f t="shared" ref="H84:H87" si="24">G85/F85</f>
        <v>0.892921960072595</v>
      </c>
      <c r="I85" s="3" t="s">
        <v>19</v>
      </c>
      <c r="J85" s="3"/>
    </row>
    <row r="86" spans="1:10">
      <c r="A86" s="3" t="s">
        <v>20</v>
      </c>
      <c r="B86" s="3">
        <v>0.66</v>
      </c>
      <c r="C86" s="3">
        <v>0.0226</v>
      </c>
      <c r="D86" s="3">
        <v>0.0767</v>
      </c>
      <c r="E86" s="4">
        <v>0.0636</v>
      </c>
      <c r="F86" s="5">
        <v>0.0476</v>
      </c>
      <c r="G86" s="3">
        <f>E86-F86</f>
        <v>0.016</v>
      </c>
      <c r="H86" s="3">
        <f t="shared" si="24"/>
        <v>0.336134453781513</v>
      </c>
      <c r="I86" s="6">
        <f>SUMPRODUCT(ABS(H84:H87))/COUNT(H84:H87)</f>
        <v>0.642447400055131</v>
      </c>
      <c r="J86" s="3"/>
    </row>
    <row r="87" spans="1:10">
      <c r="A87" s="3" t="s">
        <v>21</v>
      </c>
      <c r="B87" s="3">
        <v>0.83</v>
      </c>
      <c r="C87" s="3">
        <v>0.0644</v>
      </c>
      <c r="D87" s="3">
        <v>0.4714</v>
      </c>
      <c r="E87" s="4">
        <v>0.4654</v>
      </c>
      <c r="F87" s="5">
        <v>0.5393</v>
      </c>
      <c r="G87" s="3">
        <f>E87-F87</f>
        <v>-0.0739</v>
      </c>
      <c r="H87" s="3">
        <f>ABS(G87/F87)</f>
        <v>0.137029482662711</v>
      </c>
      <c r="I87" s="3"/>
      <c r="J87" s="3"/>
    </row>
    <row r="88" spans="1:10">
      <c r="A88" s="3"/>
      <c r="B88" s="3"/>
      <c r="E88" s="3"/>
      <c r="F88" s="3"/>
      <c r="G88" s="3"/>
      <c r="H88" s="3">
        <f>AVERAGE(H84:H87)</f>
        <v>0.642447400055131</v>
      </c>
      <c r="I88" s="3"/>
      <c r="J88" s="3"/>
    </row>
    <row r="89" spans="1:11">
      <c r="A89" s="3"/>
      <c r="B89" s="3"/>
      <c r="C89" s="3" t="s">
        <v>22</v>
      </c>
      <c r="D89" s="3" t="s">
        <v>23</v>
      </c>
      <c r="E89" s="3" t="s">
        <v>24</v>
      </c>
      <c r="F89" s="3" t="s">
        <v>25</v>
      </c>
      <c r="G89" s="3" t="s">
        <v>26</v>
      </c>
      <c r="H89" t="s">
        <v>27</v>
      </c>
      <c r="I89" s="3" t="s">
        <v>28</v>
      </c>
      <c r="J89" s="3" t="s">
        <v>29</v>
      </c>
      <c r="K89" t="s">
        <v>16</v>
      </c>
    </row>
    <row r="90" spans="1:11">
      <c r="A90" s="3"/>
      <c r="B90" s="3"/>
      <c r="C90" s="3">
        <f t="shared" ref="C90:F90" si="25">(C87-C86)/(C87+C86)</f>
        <v>0.480459770114943</v>
      </c>
      <c r="D90" s="3">
        <f t="shared" si="25"/>
        <v>0.720124064951651</v>
      </c>
      <c r="E90" s="3">
        <f t="shared" si="25"/>
        <v>0.759546313799622</v>
      </c>
      <c r="F90" s="3">
        <f t="shared" si="25"/>
        <v>0.837791787357301</v>
      </c>
      <c r="G90" s="3">
        <f t="shared" ref="G90:G93" si="26">D84-F84</f>
        <v>0.0439</v>
      </c>
      <c r="H90" s="3">
        <f t="shared" ref="H90:H93" si="27">G90/F84</f>
        <v>2.03240740740741</v>
      </c>
      <c r="I90" s="3">
        <f>SQRT(SUMSQ(G90:G93)/COUNTA(G90:G93))</f>
        <v>0.0549781547525924</v>
      </c>
      <c r="J90" s="3">
        <f>CORREL(D84:D87,F84:F87)</f>
        <v>0.995775270407395</v>
      </c>
      <c r="K90" s="7">
        <f>J90*J90</f>
        <v>0.991568389154921</v>
      </c>
    </row>
    <row r="91" spans="3:10">
      <c r="C91" s="3"/>
      <c r="D91" s="3"/>
      <c r="E91" s="3"/>
      <c r="F91" s="3"/>
      <c r="G91" s="3">
        <f t="shared" si="26"/>
        <v>0.0686</v>
      </c>
      <c r="H91" s="3">
        <f t="shared" si="27"/>
        <v>1.24500907441016</v>
      </c>
      <c r="I91" s="3" t="s">
        <v>30</v>
      </c>
      <c r="J91" s="3"/>
    </row>
    <row r="92" spans="3:10">
      <c r="C92" s="3"/>
      <c r="D92" s="3"/>
      <c r="E92" s="3"/>
      <c r="F92" s="3"/>
      <c r="G92" s="3">
        <f t="shared" si="26"/>
        <v>0.0291</v>
      </c>
      <c r="H92" s="3">
        <f t="shared" si="27"/>
        <v>0.611344537815126</v>
      </c>
      <c r="I92" s="3">
        <f>SUMPRODUCT(ABS(H90:H93))/COUNT(H90:H93)</f>
        <v>1.00366624229924</v>
      </c>
      <c r="J92" s="3"/>
    </row>
    <row r="93" spans="3:10">
      <c r="C93" s="3"/>
      <c r="D93" s="3"/>
      <c r="E93" s="3"/>
      <c r="F93" s="3"/>
      <c r="G93" s="3">
        <f t="shared" si="26"/>
        <v>-0.0679</v>
      </c>
      <c r="H93" s="3">
        <f>ABS(G93/F87)</f>
        <v>0.12590394956425</v>
      </c>
      <c r="I93" s="3"/>
      <c r="J93" s="3"/>
    </row>
    <row r="94" spans="8:8">
      <c r="H94">
        <f>AVERAGE(H90:H93)</f>
        <v>1.00366624229924</v>
      </c>
    </row>
    <row r="95" spans="1:5">
      <c r="A95" s="2" t="s">
        <v>1</v>
      </c>
      <c r="B95" s="2" t="s">
        <v>34</v>
      </c>
      <c r="C95" s="2"/>
      <c r="D95" s="2" t="s">
        <v>35</v>
      </c>
      <c r="E95" s="2"/>
    </row>
    <row r="96" spans="1:5">
      <c r="A96" s="2" t="s">
        <v>4</v>
      </c>
      <c r="B96" s="2" t="s">
        <v>36</v>
      </c>
      <c r="C96" s="2"/>
      <c r="D96" s="2"/>
      <c r="E96" s="2"/>
    </row>
    <row r="97" spans="1:5">
      <c r="A97" s="2"/>
      <c r="B97" s="2"/>
      <c r="C97" s="2"/>
      <c r="D97" s="2"/>
      <c r="E97" s="2"/>
    </row>
    <row r="98" spans="1:10">
      <c r="A98" s="3" t="s">
        <v>6</v>
      </c>
      <c r="B98" s="3" t="s">
        <v>7</v>
      </c>
      <c r="C98" s="3" t="s">
        <v>8</v>
      </c>
      <c r="D98" s="3" t="s">
        <v>9</v>
      </c>
      <c r="E98" s="3" t="s">
        <v>10</v>
      </c>
      <c r="F98" s="3" t="s">
        <v>11</v>
      </c>
      <c r="G98" s="3" t="s">
        <v>12</v>
      </c>
      <c r="H98" s="3" t="s">
        <v>13</v>
      </c>
      <c r="I98" s="3" t="s">
        <v>14</v>
      </c>
      <c r="J98" s="3" t="s">
        <v>15</v>
      </c>
    </row>
    <row r="99" spans="1:10">
      <c r="A99" s="3" t="s">
        <v>17</v>
      </c>
      <c r="B99" s="3">
        <v>0.485</v>
      </c>
      <c r="C99" s="3">
        <v>0.0364</v>
      </c>
      <c r="D99" s="3">
        <v>0.0579</v>
      </c>
      <c r="E99" s="4">
        <v>0.0437</v>
      </c>
      <c r="F99">
        <v>0.0415</v>
      </c>
      <c r="G99" s="3">
        <f t="shared" ref="G99:G102" si="28">F99-E99</f>
        <v>-0.0022</v>
      </c>
      <c r="H99" s="3">
        <f t="shared" ref="H99:H102" si="29">G99/F99</f>
        <v>-0.0530120481927711</v>
      </c>
      <c r="I99" s="6">
        <f>SQRT(SUMSQ(G99:G102)/COUNTA(G99:G102))</f>
        <v>0.0244196130190468</v>
      </c>
      <c r="J99" s="3">
        <f>CORREL(E99:E102,F99:F102)</f>
        <v>0.048399245765474</v>
      </c>
    </row>
    <row r="100" spans="1:10">
      <c r="A100" s="3" t="s">
        <v>18</v>
      </c>
      <c r="B100" s="3">
        <v>0.555</v>
      </c>
      <c r="C100" s="3">
        <v>0.0306</v>
      </c>
      <c r="D100" s="3">
        <v>0.0665</v>
      </c>
      <c r="E100" s="4">
        <v>0.0562</v>
      </c>
      <c r="F100">
        <v>0.0737</v>
      </c>
      <c r="G100" s="3">
        <f t="shared" si="28"/>
        <v>0.0175</v>
      </c>
      <c r="H100" s="3">
        <f t="shared" si="29"/>
        <v>0.237449118046133</v>
      </c>
      <c r="I100" s="3" t="s">
        <v>19</v>
      </c>
      <c r="J100" s="3"/>
    </row>
    <row r="101" spans="1:10">
      <c r="A101" s="3" t="s">
        <v>20</v>
      </c>
      <c r="B101" s="3">
        <v>0.66</v>
      </c>
      <c r="C101" s="3">
        <v>0.0185</v>
      </c>
      <c r="D101" s="3">
        <v>0.0283</v>
      </c>
      <c r="E101" s="4">
        <v>0.024</v>
      </c>
      <c r="F101">
        <v>0.0693</v>
      </c>
      <c r="G101" s="3">
        <f t="shared" si="28"/>
        <v>0.0453</v>
      </c>
      <c r="H101" s="3">
        <f t="shared" si="29"/>
        <v>0.653679653679654</v>
      </c>
      <c r="I101" s="6">
        <f>SUMPRODUCT(ABS(H99:H102))/COUNT(H99:H102)</f>
        <v>0.263046699232513</v>
      </c>
      <c r="J101" s="3"/>
    </row>
    <row r="102" spans="1:10">
      <c r="A102" s="3" t="s">
        <v>21</v>
      </c>
      <c r="B102" s="3">
        <v>0.83</v>
      </c>
      <c r="C102" s="3">
        <v>0.0567</v>
      </c>
      <c r="D102" s="3">
        <v>0.0289</v>
      </c>
      <c r="E102" s="4">
        <v>0.0388</v>
      </c>
      <c r="F102">
        <v>0.0435</v>
      </c>
      <c r="G102" s="3">
        <f t="shared" si="28"/>
        <v>0.0047</v>
      </c>
      <c r="H102" s="3">
        <f t="shared" si="29"/>
        <v>0.108045977011494</v>
      </c>
      <c r="I102" s="3"/>
      <c r="J102" s="3"/>
    </row>
    <row r="103" spans="1:10">
      <c r="A103" s="3"/>
      <c r="B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 t="s">
        <v>22</v>
      </c>
      <c r="D104" s="3" t="s">
        <v>23</v>
      </c>
      <c r="E104" s="3" t="s">
        <v>24</v>
      </c>
      <c r="F104" s="3" t="s">
        <v>25</v>
      </c>
      <c r="G104" s="3" t="s">
        <v>26</v>
      </c>
      <c r="H104" t="s">
        <v>27</v>
      </c>
      <c r="I104" s="3" t="s">
        <v>28</v>
      </c>
      <c r="J104" s="3" t="s">
        <v>29</v>
      </c>
    </row>
    <row r="105" spans="1:10">
      <c r="A105" s="3"/>
      <c r="B105" s="3"/>
      <c r="C105" s="3">
        <f t="shared" ref="C105:F105" si="30">(C102-C101)/(C102+C101)</f>
        <v>0.507978723404255</v>
      </c>
      <c r="D105" s="3">
        <f t="shared" si="30"/>
        <v>0.0104895104895105</v>
      </c>
      <c r="E105" s="3">
        <f t="shared" si="30"/>
        <v>0.235668789808917</v>
      </c>
      <c r="F105" s="3">
        <f t="shared" si="30"/>
        <v>-0.228723404255319</v>
      </c>
      <c r="G105" s="3">
        <f t="shared" ref="G105:G108" si="31">D99-F99</f>
        <v>0.0164</v>
      </c>
      <c r="H105" s="3">
        <f t="shared" ref="H105:H108" si="32">G105/F99</f>
        <v>0.395180722891566</v>
      </c>
      <c r="I105" s="3">
        <f>SQRT(SUMSQ(G105:G108)/COUNTA(G105:G108))</f>
        <v>0.0235316807729495</v>
      </c>
      <c r="J105" s="3">
        <f>CORREL(D99:D102,F99:F102)</f>
        <v>0.171527211591735</v>
      </c>
    </row>
    <row r="106" spans="3:10">
      <c r="C106" s="3"/>
      <c r="D106" s="3"/>
      <c r="E106" s="3"/>
      <c r="F106" s="3"/>
      <c r="G106" s="3">
        <f t="shared" si="31"/>
        <v>-0.0072</v>
      </c>
      <c r="H106" s="3">
        <f t="shared" si="32"/>
        <v>-0.0976933514246947</v>
      </c>
      <c r="I106" s="3" t="s">
        <v>30</v>
      </c>
      <c r="J106" s="3"/>
    </row>
    <row r="107" spans="3:10">
      <c r="C107" s="3"/>
      <c r="D107" s="3"/>
      <c r="E107" s="3"/>
      <c r="F107" s="3"/>
      <c r="G107" s="3">
        <f t="shared" si="31"/>
        <v>-0.041</v>
      </c>
      <c r="H107" s="3">
        <f t="shared" si="32"/>
        <v>-0.591630591630592</v>
      </c>
      <c r="I107" s="3">
        <f>SUMPRODUCT(ABS(H105:H108))/COUNT(H105:H108)</f>
        <v>0.355034212463725</v>
      </c>
      <c r="J107" s="3"/>
    </row>
    <row r="108" spans="3:10">
      <c r="C108" s="3"/>
      <c r="D108" s="3"/>
      <c r="E108" s="3"/>
      <c r="F108" s="3"/>
      <c r="G108" s="3">
        <f t="shared" si="31"/>
        <v>-0.0146</v>
      </c>
      <c r="H108" s="3">
        <f t="shared" si="32"/>
        <v>-0.335632183908046</v>
      </c>
      <c r="I108" s="3"/>
      <c r="J108" s="3"/>
    </row>
  </sheetData>
  <mergeCells count="2">
    <mergeCell ref="A1:M1"/>
    <mergeCell ref="A49:L4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3"/>
  <sheetViews>
    <sheetView zoomScale="80" zoomScaleNormal="80" topLeftCell="A45" workbookViewId="0">
      <selection activeCell="K159" sqref="K159:K166"/>
    </sheetView>
  </sheetViews>
  <sheetFormatPr defaultColWidth="8.88888888888889" defaultRowHeight="14.4"/>
  <cols>
    <col min="1" max="1" width="9.44444444444444" customWidth="1"/>
    <col min="2" max="2" width="27.5555555555556" customWidth="1"/>
    <col min="3" max="3" width="10" customWidth="1"/>
    <col min="5" max="5" width="11.3333333333333" customWidth="1"/>
    <col min="6" max="6" width="22.3333333333333" customWidth="1"/>
    <col min="7" max="7" width="14.2222222222222" customWidth="1"/>
    <col min="8" max="8" width="17.6666666666667" customWidth="1"/>
    <col min="9" max="9" width="22.8888888888889" customWidth="1"/>
    <col min="10" max="10" width="15.2222222222222" customWidth="1"/>
    <col min="11" max="11" width="12.8888888888889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3" t="s">
        <v>1</v>
      </c>
      <c r="B2" s="3" t="s">
        <v>44</v>
      </c>
      <c r="C2" s="3"/>
      <c r="D2" s="3"/>
      <c r="E2" s="3" t="s">
        <v>3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3" t="s">
        <v>4</v>
      </c>
      <c r="B3" s="3" t="s">
        <v>45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0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>
      <c r="A6" s="3" t="s">
        <v>17</v>
      </c>
      <c r="B6" s="3">
        <v>0.485</v>
      </c>
      <c r="C6" s="3">
        <v>0.0543</v>
      </c>
      <c r="D6" s="3">
        <v>0.1348</v>
      </c>
      <c r="E6" s="3">
        <v>0.1128</v>
      </c>
      <c r="F6" s="10">
        <v>0.0627</v>
      </c>
      <c r="G6" s="3">
        <f t="shared" ref="G6:G9" si="0">F6-E6</f>
        <v>-0.0501</v>
      </c>
      <c r="H6" s="3">
        <f>G6/F6</f>
        <v>-0.799043062200957</v>
      </c>
      <c r="I6" s="6">
        <f>SQRT(SUMSQ(G6:G9)/COUNTA(G6:G9))</f>
        <v>0.0425852967583883</v>
      </c>
      <c r="J6" s="3">
        <f>CORREL(E6:E9,F6:F9)</f>
        <v>0.929946956494635</v>
      </c>
    </row>
    <row r="7" spans="1:10">
      <c r="A7" s="3" t="s">
        <v>18</v>
      </c>
      <c r="B7" s="3">
        <v>0.555</v>
      </c>
      <c r="C7" s="3">
        <v>0.0376</v>
      </c>
      <c r="D7" s="3">
        <v>0.1519</v>
      </c>
      <c r="E7" s="3">
        <v>0.1284</v>
      </c>
      <c r="F7" s="10">
        <v>0.0827</v>
      </c>
      <c r="G7" s="3">
        <f t="shared" si="0"/>
        <v>-0.0457</v>
      </c>
      <c r="H7" s="3">
        <f>G7/F7</f>
        <v>-0.552599758162031</v>
      </c>
      <c r="I7" s="3" t="s">
        <v>19</v>
      </c>
      <c r="J7" s="3"/>
    </row>
    <row r="8" spans="1:10">
      <c r="A8" s="3" t="s">
        <v>20</v>
      </c>
      <c r="B8" s="3">
        <v>0.66</v>
      </c>
      <c r="C8" s="3">
        <v>0.264</v>
      </c>
      <c r="D8" s="3">
        <v>0.1387</v>
      </c>
      <c r="E8" s="3">
        <v>0.1208</v>
      </c>
      <c r="F8" s="10">
        <v>0.0921</v>
      </c>
      <c r="G8" s="3">
        <f t="shared" si="0"/>
        <v>-0.0287</v>
      </c>
      <c r="H8" s="3">
        <f t="shared" ref="H6:H9" si="1">G8/F8</f>
        <v>-0.311617806731813</v>
      </c>
      <c r="I8" s="6">
        <f>SUMPRODUCT(ABS(H6:H9))/COUNT(H6:H9)</f>
        <v>0.502736359048274</v>
      </c>
      <c r="J8" s="3"/>
    </row>
    <row r="9" spans="1:10">
      <c r="A9" s="3" t="s">
        <v>46</v>
      </c>
      <c r="B9" s="3">
        <v>0.83</v>
      </c>
      <c r="C9" s="3">
        <v>0.0448</v>
      </c>
      <c r="D9" s="3">
        <v>0.19</v>
      </c>
      <c r="E9" s="3">
        <v>0.1659</v>
      </c>
      <c r="F9" s="10">
        <v>0.1231</v>
      </c>
      <c r="G9" s="3">
        <f t="shared" si="0"/>
        <v>-0.0428</v>
      </c>
      <c r="H9" s="3">
        <f t="shared" si="1"/>
        <v>-0.347684809098294</v>
      </c>
      <c r="I9" s="3"/>
      <c r="J9" s="3"/>
    </row>
    <row r="10" spans="1:10">
      <c r="A10" s="3"/>
      <c r="B10" s="3"/>
      <c r="E10" s="3"/>
      <c r="F10" s="3"/>
      <c r="G10" s="3"/>
      <c r="H10" s="3"/>
      <c r="I10" s="3"/>
      <c r="J10" s="3"/>
    </row>
    <row r="11" spans="1:10">
      <c r="A11" s="3"/>
      <c r="B11" s="3"/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t="s">
        <v>27</v>
      </c>
      <c r="I11" s="3" t="s">
        <v>28</v>
      </c>
      <c r="J11" s="3" t="s">
        <v>29</v>
      </c>
    </row>
    <row r="12" spans="1:10">
      <c r="A12" s="3"/>
      <c r="B12" s="3"/>
      <c r="C12" s="3">
        <f>(C9-C8)/(C9+C8)</f>
        <v>-0.709844559585492</v>
      </c>
      <c r="D12" s="3">
        <f>(D9-D8)/(D9+D8)</f>
        <v>0.15606936416185</v>
      </c>
      <c r="E12" s="3">
        <f>(E9-E8)/(E9+E8)</f>
        <v>0.157307289850017</v>
      </c>
      <c r="F12" s="3">
        <f>(F9-F8)/(F9+F8)</f>
        <v>0.144052044609665</v>
      </c>
      <c r="G12" s="3">
        <f>D6-F6</f>
        <v>0.0721</v>
      </c>
      <c r="H12" s="3">
        <f>G12/F6</f>
        <v>1.14992025518341</v>
      </c>
      <c r="I12" s="3">
        <f>SQRT(SUMSQ(G12:G15)/COUNTA(G12:G15))</f>
        <v>0.0644868591264918</v>
      </c>
      <c r="J12" s="3">
        <f>CORREL(D6:D9,F6:F9)</f>
        <v>0.893870522424996</v>
      </c>
    </row>
    <row r="13" spans="1:10">
      <c r="A13" s="3"/>
      <c r="B13" s="3"/>
      <c r="C13" s="3"/>
      <c r="D13" s="3"/>
      <c r="E13" s="3"/>
      <c r="F13" s="3"/>
      <c r="G13" s="3">
        <f>D7-F7</f>
        <v>0.0692</v>
      </c>
      <c r="H13" s="3">
        <f>G13/F7</f>
        <v>0.836759371221282</v>
      </c>
      <c r="I13" s="3" t="s">
        <v>30</v>
      </c>
      <c r="J13" s="3"/>
    </row>
    <row r="14" spans="1:10">
      <c r="A14" s="3"/>
      <c r="B14" s="3"/>
      <c r="C14" s="3"/>
      <c r="D14" s="3"/>
      <c r="E14" s="3"/>
      <c r="F14" s="3"/>
      <c r="G14" s="3">
        <f>D8-F8</f>
        <v>0.0466</v>
      </c>
      <c r="H14" s="3">
        <f>G14/F8</f>
        <v>0.505971769815418</v>
      </c>
      <c r="I14" s="3">
        <f>SUMPRODUCT(ABS(H12:H15))/COUNT(H12:H15)</f>
        <v>0.75902799933935</v>
      </c>
      <c r="J14" s="3"/>
    </row>
    <row r="15" spans="1:10">
      <c r="A15" s="3"/>
      <c r="B15" s="3"/>
      <c r="C15" s="3"/>
      <c r="D15" s="3"/>
      <c r="E15" s="3"/>
      <c r="F15" s="3"/>
      <c r="G15" s="3">
        <f>D9-F9</f>
        <v>0.0669</v>
      </c>
      <c r="H15" s="3">
        <f>G15/F9</f>
        <v>0.543460601137287</v>
      </c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I17" s="3"/>
      <c r="J17" s="3"/>
    </row>
    <row r="18" spans="1:10">
      <c r="A18" s="3" t="s">
        <v>1</v>
      </c>
      <c r="B18" s="3" t="s">
        <v>44</v>
      </c>
      <c r="C18" s="3"/>
      <c r="D18" s="3"/>
      <c r="E18" s="3" t="s">
        <v>32</v>
      </c>
      <c r="F18" s="3"/>
      <c r="G18" s="3"/>
      <c r="I18" s="3"/>
      <c r="J18" s="3"/>
    </row>
    <row r="19" spans="1:6">
      <c r="A19" s="3" t="s">
        <v>4</v>
      </c>
      <c r="B19" s="3" t="s">
        <v>47</v>
      </c>
      <c r="C19" s="3"/>
      <c r="D19" s="3"/>
      <c r="E19" s="3"/>
      <c r="F19" s="3"/>
    </row>
    <row r="21" spans="1:10">
      <c r="A21" s="3" t="s">
        <v>6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11</v>
      </c>
      <c r="G21" s="3" t="s">
        <v>12</v>
      </c>
      <c r="H21" s="3" t="s">
        <v>13</v>
      </c>
      <c r="I21" s="3" t="s">
        <v>14</v>
      </c>
      <c r="J21" s="3" t="s">
        <v>15</v>
      </c>
    </row>
    <row r="22" spans="1:10">
      <c r="A22" s="3" t="s">
        <v>17</v>
      </c>
      <c r="B22" s="3">
        <v>0.485</v>
      </c>
      <c r="C22" s="3">
        <v>0.0547</v>
      </c>
      <c r="D22" s="3">
        <v>0.0914</v>
      </c>
      <c r="E22" s="3">
        <v>0.0707</v>
      </c>
      <c r="F22" s="3">
        <v>0.0308</v>
      </c>
      <c r="G22" s="3">
        <f t="shared" ref="G22:G25" si="2">F22-E22</f>
        <v>-0.0399</v>
      </c>
      <c r="H22" s="3">
        <f t="shared" ref="H22:H25" si="3">G22/F22</f>
        <v>-1.29545454545455</v>
      </c>
      <c r="I22" s="6">
        <f>SQRT(SUMSQ(G22:G25)/COUNTA(G22:G25))</f>
        <v>0.022900545845023</v>
      </c>
      <c r="J22" s="3">
        <f>CORREL(E22:E25,F22:F25)</f>
        <v>0.994449268209041</v>
      </c>
    </row>
    <row r="23" spans="1:10">
      <c r="A23" s="3" t="s">
        <v>18</v>
      </c>
      <c r="B23" s="3">
        <v>0.555</v>
      </c>
      <c r="C23" s="3">
        <v>0.0395</v>
      </c>
      <c r="D23" s="3">
        <v>0.1162</v>
      </c>
      <c r="E23" s="3">
        <v>0.1055</v>
      </c>
      <c r="F23" s="3">
        <v>0.1015</v>
      </c>
      <c r="G23" s="3">
        <f t="shared" si="2"/>
        <v>-0.00399999999999999</v>
      </c>
      <c r="H23" s="3">
        <f t="shared" si="3"/>
        <v>-0.0394088669950738</v>
      </c>
      <c r="I23" s="3" t="s">
        <v>19</v>
      </c>
      <c r="J23" s="3"/>
    </row>
    <row r="24" spans="1:10">
      <c r="A24" s="3" t="s">
        <v>20</v>
      </c>
      <c r="B24" s="3">
        <v>0.66</v>
      </c>
      <c r="C24" s="3">
        <v>0.024</v>
      </c>
      <c r="D24" s="3">
        <v>0.0869</v>
      </c>
      <c r="E24" s="3">
        <v>0.0714</v>
      </c>
      <c r="F24" s="5">
        <v>0.0541</v>
      </c>
      <c r="G24" s="3">
        <f t="shared" si="2"/>
        <v>-0.0173</v>
      </c>
      <c r="H24" s="3">
        <f t="shared" si="3"/>
        <v>-0.319778188539741</v>
      </c>
      <c r="I24" s="6">
        <f>SUMPRODUCT(ABS(H22:H25))/COUNT(H22:H25)</f>
        <v>0.424114945701886</v>
      </c>
      <c r="J24" s="3"/>
    </row>
    <row r="25" spans="1:10">
      <c r="A25" s="3" t="s">
        <v>21</v>
      </c>
      <c r="B25" s="3">
        <v>0.83</v>
      </c>
      <c r="C25" s="3">
        <v>0.053</v>
      </c>
      <c r="D25" s="3">
        <v>0.3522</v>
      </c>
      <c r="E25" s="3">
        <v>0.3438</v>
      </c>
      <c r="F25" s="2">
        <v>0.33</v>
      </c>
      <c r="G25" s="3">
        <f t="shared" si="2"/>
        <v>-0.0138</v>
      </c>
      <c r="H25" s="3">
        <f t="shared" si="3"/>
        <v>-0.0418181818181818</v>
      </c>
      <c r="I25" s="3"/>
      <c r="J25" s="3"/>
    </row>
    <row r="26" spans="1:10">
      <c r="A26" s="3"/>
      <c r="B26" s="3"/>
      <c r="E26" s="3"/>
      <c r="F26" s="3"/>
      <c r="G26" s="3"/>
      <c r="H26" s="3"/>
      <c r="I26" s="3"/>
      <c r="J26" s="3"/>
    </row>
    <row r="27" spans="1:10">
      <c r="A27" s="3"/>
      <c r="B27" s="3"/>
      <c r="C27" s="3" t="s">
        <v>22</v>
      </c>
      <c r="D27" s="3" t="s">
        <v>23</v>
      </c>
      <c r="E27" s="3" t="s">
        <v>24</v>
      </c>
      <c r="F27" s="3" t="s">
        <v>25</v>
      </c>
      <c r="G27" s="3" t="s">
        <v>26</v>
      </c>
      <c r="H27" t="s">
        <v>27</v>
      </c>
      <c r="I27" s="3" t="s">
        <v>28</v>
      </c>
      <c r="J27" s="3" t="s">
        <v>29</v>
      </c>
    </row>
    <row r="28" spans="1:10">
      <c r="A28" s="3"/>
      <c r="B28" s="3"/>
      <c r="C28" s="3">
        <f t="shared" ref="C28:F28" si="4">(C25-C24)/(C25+C24)</f>
        <v>0.376623376623377</v>
      </c>
      <c r="D28" s="3">
        <f t="shared" si="4"/>
        <v>0.604190389432931</v>
      </c>
      <c r="E28" s="3">
        <f t="shared" si="4"/>
        <v>0.65606936416185</v>
      </c>
      <c r="F28" s="3">
        <f t="shared" si="4"/>
        <v>0.718302525384015</v>
      </c>
      <c r="G28" s="3">
        <f t="shared" ref="G28:G31" si="5">D22-F22</f>
        <v>0.0606</v>
      </c>
      <c r="H28" s="3">
        <f t="shared" ref="H28:H31" si="6">G28/F22</f>
        <v>1.96753246753247</v>
      </c>
      <c r="I28" s="3">
        <f>SQRT(SUMSQ(G28:G31)/COUNTA(G28:G31))</f>
        <v>0.0369361949854069</v>
      </c>
      <c r="J28" s="3">
        <f>CORREL(D22:D25,F22:F25)</f>
        <v>0.991010285514055</v>
      </c>
    </row>
    <row r="29" spans="1:10">
      <c r="A29" s="3"/>
      <c r="B29" s="3"/>
      <c r="C29" s="3"/>
      <c r="D29" s="3"/>
      <c r="E29" s="3"/>
      <c r="F29" s="3"/>
      <c r="G29" s="3">
        <f t="shared" si="5"/>
        <v>0.0147</v>
      </c>
      <c r="H29" s="3">
        <f t="shared" si="6"/>
        <v>0.144827586206896</v>
      </c>
      <c r="I29" s="3" t="s">
        <v>30</v>
      </c>
      <c r="J29" s="3"/>
    </row>
    <row r="30" spans="1:10">
      <c r="A30" s="3"/>
      <c r="B30" s="3"/>
      <c r="C30" s="3"/>
      <c r="D30" s="3"/>
      <c r="E30" s="3"/>
      <c r="F30" s="3"/>
      <c r="G30" s="3">
        <f t="shared" si="5"/>
        <v>0.0328</v>
      </c>
      <c r="H30" s="3">
        <f t="shared" si="6"/>
        <v>0.606284658040665</v>
      </c>
      <c r="I30" s="3">
        <f>SUMPRODUCT(ABS(H28:H31))/COUNT(H28:H31)</f>
        <v>0.696479359763189</v>
      </c>
      <c r="J30" s="3"/>
    </row>
    <row r="31" spans="1:10">
      <c r="A31" s="3"/>
      <c r="B31" s="3"/>
      <c r="C31" s="3"/>
      <c r="D31" s="3"/>
      <c r="E31" s="3"/>
      <c r="F31" s="3"/>
      <c r="G31" s="3">
        <f t="shared" si="5"/>
        <v>0.0222</v>
      </c>
      <c r="H31" s="3">
        <f t="shared" si="6"/>
        <v>0.0672727272727273</v>
      </c>
      <c r="I31" s="3"/>
      <c r="J31" s="3"/>
    </row>
    <row r="32" spans="1:15">
      <c r="A32" s="1" t="s">
        <v>48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4">
      <c r="A33" s="3" t="s">
        <v>1</v>
      </c>
      <c r="B33" s="3" t="s">
        <v>49</v>
      </c>
      <c r="C33" s="3"/>
      <c r="D33" s="3"/>
    </row>
    <row r="34" spans="1:10">
      <c r="A34" s="3" t="s">
        <v>4</v>
      </c>
      <c r="B34" s="3" t="s">
        <v>45</v>
      </c>
      <c r="C34" s="3"/>
      <c r="D34" s="3"/>
      <c r="E34" s="3"/>
      <c r="F34" s="3"/>
      <c r="G34" s="3"/>
      <c r="I34" s="3"/>
      <c r="J34" s="3"/>
    </row>
    <row r="35" spans="1:6">
      <c r="A35" s="3"/>
      <c r="B35" s="3"/>
      <c r="C35" s="3"/>
      <c r="D35" s="3"/>
      <c r="E35" s="3"/>
      <c r="F35" s="3"/>
    </row>
    <row r="36" spans="1:11">
      <c r="A36" s="3" t="s">
        <v>6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11</v>
      </c>
      <c r="G36" s="3" t="s">
        <v>12</v>
      </c>
      <c r="H36" s="3" t="s">
        <v>13</v>
      </c>
      <c r="I36" s="3" t="s">
        <v>14</v>
      </c>
      <c r="J36" s="3" t="s">
        <v>15</v>
      </c>
      <c r="K36" t="s">
        <v>16</v>
      </c>
    </row>
    <row r="37" spans="1:11">
      <c r="A37" s="3" t="s">
        <v>17</v>
      </c>
      <c r="B37" s="3">
        <v>0.485</v>
      </c>
      <c r="C37" s="3">
        <v>0.0471</v>
      </c>
      <c r="D37" s="3">
        <v>0.106</v>
      </c>
      <c r="E37" s="11">
        <v>0.1026</v>
      </c>
      <c r="F37" s="10">
        <v>0.1361</v>
      </c>
      <c r="G37" s="3">
        <f>E37-F37</f>
        <v>-0.0335</v>
      </c>
      <c r="H37" s="3">
        <f t="shared" ref="H37:H40" si="7">G37/F37</f>
        <v>-0.246142542248347</v>
      </c>
      <c r="I37" s="6">
        <f>SQRT(SUMSQ(G37:G40)/COUNTA(G37:G40))</f>
        <v>0.0314125373059866</v>
      </c>
      <c r="J37" s="3">
        <f>CORREL(E37:E40,F37:F40)</f>
        <v>0.997518178540073</v>
      </c>
      <c r="K37" s="7">
        <f>J37*J37</f>
        <v>0.995042516517905</v>
      </c>
    </row>
    <row r="38" spans="1:10">
      <c r="A38" s="3" t="s">
        <v>18</v>
      </c>
      <c r="B38" s="3">
        <v>0.555</v>
      </c>
      <c r="C38" s="3">
        <v>0.0353</v>
      </c>
      <c r="D38" s="3">
        <v>0.1522</v>
      </c>
      <c r="E38" s="11">
        <v>0.1453</v>
      </c>
      <c r="F38" s="10">
        <v>0.1716</v>
      </c>
      <c r="G38" s="3">
        <f>E38-F38</f>
        <v>-0.0263</v>
      </c>
      <c r="H38" s="3">
        <f t="shared" si="7"/>
        <v>-0.153263403263403</v>
      </c>
      <c r="I38" s="3" t="s">
        <v>19</v>
      </c>
      <c r="J38" s="3"/>
    </row>
    <row r="39" spans="1:10">
      <c r="A39" s="3" t="s">
        <v>20</v>
      </c>
      <c r="B39" s="3">
        <v>0.66</v>
      </c>
      <c r="C39" s="3">
        <v>0.0317</v>
      </c>
      <c r="D39" s="3">
        <v>0.1723</v>
      </c>
      <c r="E39" s="11">
        <v>0.1689</v>
      </c>
      <c r="F39" s="10">
        <v>0.1988</v>
      </c>
      <c r="G39" s="3">
        <f>E39-F39</f>
        <v>-0.0299</v>
      </c>
      <c r="H39" s="3">
        <f t="shared" si="7"/>
        <v>-0.150402414486922</v>
      </c>
      <c r="I39" s="6">
        <f>SUMPRODUCT(ABS(H37:H40))/COUNT(H37:H40)</f>
        <v>0.171014256284946</v>
      </c>
      <c r="J39" s="3"/>
    </row>
    <row r="40" spans="1:10">
      <c r="A40" s="3" t="s">
        <v>21</v>
      </c>
      <c r="B40" s="3">
        <v>0.83</v>
      </c>
      <c r="C40" s="3">
        <v>0.0272</v>
      </c>
      <c r="D40" s="3">
        <v>0.2382</v>
      </c>
      <c r="E40" s="11">
        <v>0.227</v>
      </c>
      <c r="F40" s="10">
        <v>0.2622</v>
      </c>
      <c r="G40" s="3">
        <f>E40-F40</f>
        <v>-0.0352</v>
      </c>
      <c r="H40" s="3">
        <f t="shared" si="7"/>
        <v>-0.134248665141114</v>
      </c>
      <c r="I40" s="3"/>
      <c r="J40" s="3"/>
    </row>
    <row r="41" spans="1:10">
      <c r="A41" s="3"/>
      <c r="B41" s="3"/>
      <c r="E41" s="3"/>
      <c r="F41" s="3"/>
      <c r="G41" s="3"/>
      <c r="H41" s="3">
        <f>AVERAGE(H37:H40)</f>
        <v>-0.171014256284946</v>
      </c>
      <c r="I41" s="3"/>
      <c r="J41" s="3"/>
    </row>
    <row r="42" spans="1:11">
      <c r="A42" s="3"/>
      <c r="B42" s="3"/>
      <c r="C42" s="3" t="s">
        <v>22</v>
      </c>
      <c r="D42" s="3" t="s">
        <v>23</v>
      </c>
      <c r="E42" s="3" t="s">
        <v>24</v>
      </c>
      <c r="F42" s="3" t="s">
        <v>25</v>
      </c>
      <c r="G42" s="3" t="s">
        <v>26</v>
      </c>
      <c r="H42" t="s">
        <v>27</v>
      </c>
      <c r="I42" s="3" t="s">
        <v>28</v>
      </c>
      <c r="J42" s="3" t="s">
        <v>29</v>
      </c>
      <c r="K42" t="s">
        <v>16</v>
      </c>
    </row>
    <row r="43" spans="1:11">
      <c r="A43" s="3"/>
      <c r="B43" s="3"/>
      <c r="C43" s="3">
        <f t="shared" ref="C43:F43" si="8">(C40-C39)/(C40+C39)</f>
        <v>-0.0764006791171477</v>
      </c>
      <c r="D43" s="3">
        <f t="shared" si="8"/>
        <v>0.160535931790499</v>
      </c>
      <c r="E43" s="3">
        <f t="shared" si="8"/>
        <v>0.14675423086638</v>
      </c>
      <c r="F43" s="3">
        <f t="shared" si="8"/>
        <v>0.137527114967462</v>
      </c>
      <c r="G43" s="3">
        <f>D37-F37</f>
        <v>-0.0301</v>
      </c>
      <c r="H43" s="3">
        <f>G43/F37</f>
        <v>-0.221160911094783</v>
      </c>
      <c r="I43" s="3">
        <f>SQRT(SUMSQ(G43:G46)/COUNTA(G43:G46))</f>
        <v>0.0253012845523701</v>
      </c>
      <c r="J43" s="3">
        <f>CORREL(D37:D40,F37:F40)</f>
        <v>0.996987892948293</v>
      </c>
      <c r="K43" s="7">
        <f>J43*J43</f>
        <v>0.993984858685477</v>
      </c>
    </row>
    <row r="44" spans="1:10">
      <c r="A44" s="3"/>
      <c r="B44" s="3"/>
      <c r="C44" s="3"/>
      <c r="D44" s="3"/>
      <c r="E44" s="3"/>
      <c r="F44" s="3"/>
      <c r="G44" s="3">
        <f t="shared" ref="G43:G46" si="9">D38-F38</f>
        <v>-0.0194</v>
      </c>
      <c r="H44" s="3">
        <f t="shared" ref="H43:H46" si="10">G44/F38</f>
        <v>-0.113053613053613</v>
      </c>
      <c r="I44" s="3" t="s">
        <v>30</v>
      </c>
      <c r="J44" s="3"/>
    </row>
    <row r="45" spans="1:10">
      <c r="A45" s="3"/>
      <c r="B45" s="3"/>
      <c r="C45" s="3"/>
      <c r="D45" s="3"/>
      <c r="E45" s="3"/>
      <c r="F45" s="3"/>
      <c r="G45" s="3">
        <f t="shared" si="9"/>
        <v>-0.0265</v>
      </c>
      <c r="H45" s="3">
        <f t="shared" si="10"/>
        <v>-0.133299798792757</v>
      </c>
      <c r="I45" s="3">
        <f>SUMPRODUCT(ABS(H43:H46))/COUNT(H43:H46)</f>
        <v>0.139761875929796</v>
      </c>
      <c r="J45" s="3"/>
    </row>
    <row r="46" spans="1:10">
      <c r="A46" s="3"/>
      <c r="B46" s="3"/>
      <c r="C46" s="3"/>
      <c r="D46" s="3"/>
      <c r="E46" s="3"/>
      <c r="F46" s="3"/>
      <c r="G46" s="3">
        <f t="shared" si="9"/>
        <v>-0.024</v>
      </c>
      <c r="H46" s="3">
        <f t="shared" si="10"/>
        <v>-0.091533180778032</v>
      </c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>
        <f>AVERAGE(H43:H46)</f>
        <v>-0.139761875929796</v>
      </c>
      <c r="I47" s="3"/>
      <c r="J47" s="3"/>
    </row>
    <row r="48" spans="1:8">
      <c r="A48" s="3" t="s">
        <v>1</v>
      </c>
      <c r="B48" s="3" t="s">
        <v>50</v>
      </c>
      <c r="C48" s="3"/>
      <c r="D48" s="3"/>
      <c r="E48" s="3" t="s">
        <v>40</v>
      </c>
      <c r="F48" s="3"/>
      <c r="G48" s="3"/>
      <c r="H48" s="3"/>
    </row>
    <row r="49" spans="1:8">
      <c r="A49" s="3" t="s">
        <v>4</v>
      </c>
      <c r="B49" s="3" t="s">
        <v>51</v>
      </c>
      <c r="C49" s="3"/>
      <c r="D49" s="3"/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10">
      <c r="A51" s="3" t="s">
        <v>6</v>
      </c>
      <c r="B51" s="3" t="s">
        <v>7</v>
      </c>
      <c r="C51" s="3" t="s">
        <v>8</v>
      </c>
      <c r="D51" s="3" t="s">
        <v>9</v>
      </c>
      <c r="E51" s="3" t="s">
        <v>10</v>
      </c>
      <c r="F51" s="3" t="s">
        <v>11</v>
      </c>
      <c r="G51" s="3" t="s">
        <v>12</v>
      </c>
      <c r="H51" s="3" t="s">
        <v>13</v>
      </c>
      <c r="I51" s="3" t="s">
        <v>14</v>
      </c>
      <c r="J51" s="3" t="s">
        <v>15</v>
      </c>
    </row>
    <row r="52" spans="1:10">
      <c r="A52" s="3" t="s">
        <v>17</v>
      </c>
      <c r="B52" s="3">
        <v>0.485</v>
      </c>
      <c r="C52" s="3">
        <v>0.0336</v>
      </c>
      <c r="D52" s="3">
        <v>0.0361</v>
      </c>
      <c r="E52" s="11">
        <v>0.0402</v>
      </c>
      <c r="F52" s="10">
        <v>0.0602</v>
      </c>
      <c r="G52" s="3">
        <f t="shared" ref="G52:G55" si="11">F52-E52</f>
        <v>0.02</v>
      </c>
      <c r="H52" s="3">
        <f t="shared" ref="H52:H55" si="12">G52/F52</f>
        <v>0.332225913621262</v>
      </c>
      <c r="I52" s="6">
        <f>SQRT(SUMSQ(G52:G55)/COUNTA(G52:G55))</f>
        <v>0.0354503173469576</v>
      </c>
      <c r="J52" s="3">
        <f>CORREL(E52:E55,F52:F55)</f>
        <v>0.623440623035487</v>
      </c>
    </row>
    <row r="53" spans="1:10">
      <c r="A53" s="3" t="s">
        <v>18</v>
      </c>
      <c r="B53" s="3">
        <v>0.555</v>
      </c>
      <c r="C53" s="3">
        <v>0.0197</v>
      </c>
      <c r="D53" s="3">
        <v>0.0472</v>
      </c>
      <c r="E53" s="11">
        <v>0.0497</v>
      </c>
      <c r="F53" s="10">
        <v>0.1018</v>
      </c>
      <c r="G53" s="3">
        <f t="shared" si="11"/>
        <v>0.0521</v>
      </c>
      <c r="H53" s="3">
        <f t="shared" si="12"/>
        <v>0.511787819253438</v>
      </c>
      <c r="I53" s="3" t="s">
        <v>19</v>
      </c>
      <c r="J53" s="3"/>
    </row>
    <row r="54" spans="1:10">
      <c r="A54" s="3" t="s">
        <v>20</v>
      </c>
      <c r="B54" s="3">
        <v>0.66</v>
      </c>
      <c r="C54" s="3">
        <v>0.0103</v>
      </c>
      <c r="D54" s="3">
        <v>0.024</v>
      </c>
      <c r="E54" s="11">
        <v>0.0316</v>
      </c>
      <c r="F54" s="10">
        <v>0.0723</v>
      </c>
      <c r="G54" s="3">
        <f t="shared" si="11"/>
        <v>0.0407</v>
      </c>
      <c r="H54" s="3">
        <f t="shared" si="12"/>
        <v>0.562932226832642</v>
      </c>
      <c r="I54" s="6">
        <f>SUMPRODUCT(ABS(H52:H55))/COUNT(H52:H55)</f>
        <v>0.557922056937145</v>
      </c>
      <c r="J54" s="3"/>
    </row>
    <row r="55" spans="1:10">
      <c r="A55" s="3" t="s">
        <v>21</v>
      </c>
      <c r="B55" s="3">
        <v>0.83</v>
      </c>
      <c r="C55" s="3">
        <v>0.0053</v>
      </c>
      <c r="D55" s="3">
        <v>0.0184</v>
      </c>
      <c r="E55" s="11">
        <v>0.0354</v>
      </c>
      <c r="F55" s="10">
        <v>0.0194</v>
      </c>
      <c r="G55" s="3">
        <f t="shared" si="11"/>
        <v>-0.016</v>
      </c>
      <c r="H55" s="3">
        <f t="shared" si="12"/>
        <v>-0.824742268041237</v>
      </c>
      <c r="I55" s="3"/>
      <c r="J55" s="3"/>
    </row>
    <row r="56" spans="1:10">
      <c r="A56" s="3"/>
      <c r="B56" s="3"/>
      <c r="E56" s="3"/>
      <c r="F56" s="3"/>
      <c r="G56" s="3"/>
      <c r="H56" s="3"/>
      <c r="I56" s="3"/>
      <c r="J56" s="3"/>
    </row>
    <row r="57" spans="1:10">
      <c r="A57" s="3"/>
      <c r="B57" s="3"/>
      <c r="C57" s="3" t="s">
        <v>22</v>
      </c>
      <c r="D57" s="3" t="s">
        <v>23</v>
      </c>
      <c r="E57" s="3" t="s">
        <v>24</v>
      </c>
      <c r="F57" s="3" t="s">
        <v>25</v>
      </c>
      <c r="G57" s="3" t="s">
        <v>26</v>
      </c>
      <c r="H57" t="s">
        <v>27</v>
      </c>
      <c r="I57" s="3" t="s">
        <v>28</v>
      </c>
      <c r="J57" s="3" t="s">
        <v>29</v>
      </c>
    </row>
    <row r="58" spans="1:10">
      <c r="A58" s="3"/>
      <c r="B58" s="3"/>
      <c r="C58" s="3">
        <f t="shared" ref="C58:F58" si="13">(C55-C54)/(C55+C54)</f>
        <v>-0.320512820512821</v>
      </c>
      <c r="D58" s="3">
        <f t="shared" si="13"/>
        <v>-0.132075471698113</v>
      </c>
      <c r="E58" s="3">
        <f t="shared" si="13"/>
        <v>0.0567164179104477</v>
      </c>
      <c r="F58" s="3">
        <f t="shared" si="13"/>
        <v>-0.576881134133043</v>
      </c>
      <c r="G58" s="3">
        <f t="shared" ref="G58:G61" si="14">D52-F52</f>
        <v>-0.0241</v>
      </c>
      <c r="H58" s="3">
        <f>G58/F52</f>
        <v>-0.400332225913621</v>
      </c>
      <c r="I58" s="3">
        <f>SQRT(SUMSQ(G58:G61)/COUNTA(G58:G61))</f>
        <v>0.0383922518224706</v>
      </c>
      <c r="J58" s="3">
        <f>CORREL(D52:D55,F52:F55)</f>
        <v>0.833641469775754</v>
      </c>
    </row>
    <row r="59" spans="1:10">
      <c r="A59" s="3"/>
      <c r="B59" s="3"/>
      <c r="C59" s="3"/>
      <c r="D59" s="3"/>
      <c r="E59" s="3"/>
      <c r="F59" s="3"/>
      <c r="G59" s="3">
        <f t="shared" si="14"/>
        <v>-0.0546</v>
      </c>
      <c r="H59" s="3">
        <f>G59/F53</f>
        <v>-0.536345776031434</v>
      </c>
      <c r="I59" s="3" t="s">
        <v>30</v>
      </c>
      <c r="J59" s="3"/>
    </row>
    <row r="60" spans="3:10">
      <c r="C60" s="3"/>
      <c r="D60" s="3"/>
      <c r="E60" s="3"/>
      <c r="F60" s="3"/>
      <c r="G60" s="3">
        <f t="shared" si="14"/>
        <v>-0.0483</v>
      </c>
      <c r="H60" s="3">
        <f>G60/F54</f>
        <v>-0.66804979253112</v>
      </c>
      <c r="I60" s="3">
        <f>SUMPRODUCT(ABS(H58:H61))/COUNT(H58:H61)</f>
        <v>0.414068546557188</v>
      </c>
      <c r="J60" s="3"/>
    </row>
    <row r="61" spans="3:10">
      <c r="C61" s="3"/>
      <c r="D61" s="3"/>
      <c r="E61" s="3"/>
      <c r="F61" s="3"/>
      <c r="G61" s="3">
        <f t="shared" si="14"/>
        <v>-0.001</v>
      </c>
      <c r="H61" s="3">
        <f>G61/F55</f>
        <v>-0.0515463917525774</v>
      </c>
      <c r="I61" s="3"/>
      <c r="J61" s="3"/>
    </row>
    <row r="62" spans="1:6">
      <c r="A62" s="3" t="s">
        <v>1</v>
      </c>
      <c r="B62" s="3" t="s">
        <v>52</v>
      </c>
      <c r="C62" s="3"/>
      <c r="D62" s="3"/>
      <c r="E62" s="3" t="s">
        <v>53</v>
      </c>
      <c r="F62" s="3"/>
    </row>
    <row r="63" spans="1:6">
      <c r="A63" s="3" t="s">
        <v>4</v>
      </c>
      <c r="B63" s="3" t="s">
        <v>54</v>
      </c>
      <c r="C63" s="3"/>
      <c r="D63" s="3"/>
      <c r="E63" s="3"/>
      <c r="F63" s="3"/>
    </row>
    <row r="65" spans="1:10">
      <c r="A65" s="3" t="s">
        <v>6</v>
      </c>
      <c r="B65" s="3" t="s">
        <v>7</v>
      </c>
      <c r="C65" s="3" t="s">
        <v>8</v>
      </c>
      <c r="D65" s="3" t="s">
        <v>9</v>
      </c>
      <c r="E65" s="3" t="s">
        <v>10</v>
      </c>
      <c r="F65" s="3" t="s">
        <v>11</v>
      </c>
      <c r="G65" s="3" t="s">
        <v>12</v>
      </c>
      <c r="H65" s="3" t="s">
        <v>13</v>
      </c>
      <c r="I65" s="3" t="s">
        <v>14</v>
      </c>
      <c r="J65" s="3" t="s">
        <v>15</v>
      </c>
    </row>
    <row r="66" spans="1:10">
      <c r="A66" s="3" t="s">
        <v>17</v>
      </c>
      <c r="B66" s="3">
        <v>0.485</v>
      </c>
      <c r="C66" s="3">
        <v>0.0336</v>
      </c>
      <c r="D66" s="3">
        <v>0.0372</v>
      </c>
      <c r="E66" s="11">
        <v>0.0402</v>
      </c>
      <c r="F66" s="12">
        <v>0.0291</v>
      </c>
      <c r="G66" s="3">
        <f t="shared" ref="G66:G69" si="15">F66-E66</f>
        <v>-0.0111</v>
      </c>
      <c r="H66" s="3">
        <f t="shared" ref="H66:H69" si="16">G66/F66</f>
        <v>-0.381443298969072</v>
      </c>
      <c r="I66" s="6">
        <f>SQRT(SUMSQ(G66:G69)/COUNTA(G66:G69))</f>
        <v>0.012846918891314</v>
      </c>
      <c r="J66" s="3">
        <f>CORREL(E66:E69,F66:F69)</f>
        <v>0.996012757672983</v>
      </c>
    </row>
    <row r="67" spans="1:10">
      <c r="A67" s="3" t="s">
        <v>18</v>
      </c>
      <c r="B67" s="3">
        <v>0.555</v>
      </c>
      <c r="C67" s="3">
        <v>0.0197</v>
      </c>
      <c r="D67" s="3">
        <v>0.0503</v>
      </c>
      <c r="E67" s="11">
        <v>0.0515</v>
      </c>
      <c r="F67" s="12">
        <v>0.03983</v>
      </c>
      <c r="G67" s="3">
        <f t="shared" si="15"/>
        <v>-0.01167</v>
      </c>
      <c r="H67" s="3">
        <f t="shared" si="16"/>
        <v>-0.292995229726337</v>
      </c>
      <c r="I67" s="3" t="s">
        <v>19</v>
      </c>
      <c r="J67" s="3"/>
    </row>
    <row r="68" spans="1:10">
      <c r="A68" s="3" t="s">
        <v>20</v>
      </c>
      <c r="B68" s="3">
        <v>0.66</v>
      </c>
      <c r="C68" s="3">
        <v>0.0122</v>
      </c>
      <c r="D68" s="3">
        <v>0.0396</v>
      </c>
      <c r="E68" s="11">
        <v>0.0444</v>
      </c>
      <c r="F68" s="12">
        <v>0.05128</v>
      </c>
      <c r="G68" s="3">
        <f t="shared" si="15"/>
        <v>0.00688</v>
      </c>
      <c r="H68" s="3">
        <f t="shared" si="16"/>
        <v>0.134165366614665</v>
      </c>
      <c r="I68" s="6">
        <f>SUMPRODUCT(ABS(H66:H69))/COUNT(H66:H69)</f>
        <v>0.222116989120637</v>
      </c>
      <c r="J68" s="3"/>
    </row>
    <row r="69" spans="1:10">
      <c r="A69" s="3" t="s">
        <v>21</v>
      </c>
      <c r="B69" s="3">
        <v>0.83</v>
      </c>
      <c r="C69" s="3">
        <v>0.0261</v>
      </c>
      <c r="D69" s="3">
        <v>0.2261</v>
      </c>
      <c r="E69" s="11">
        <v>0.2166</v>
      </c>
      <c r="F69" s="12">
        <v>0.2354</v>
      </c>
      <c r="G69" s="3">
        <f t="shared" si="15"/>
        <v>0.0188</v>
      </c>
      <c r="H69" s="3">
        <f t="shared" si="16"/>
        <v>0.0798640611724724</v>
      </c>
      <c r="I69" s="3"/>
      <c r="J69" s="3"/>
    </row>
    <row r="70" spans="1:10">
      <c r="A70" s="3"/>
      <c r="B70" s="3"/>
      <c r="E70" s="3"/>
      <c r="F70" s="3"/>
      <c r="G70" s="3"/>
      <c r="H70" s="3"/>
      <c r="I70" s="3"/>
      <c r="J70" s="3"/>
    </row>
    <row r="71" spans="1:10">
      <c r="A71" s="3"/>
      <c r="B71" s="3"/>
      <c r="C71" s="3" t="s">
        <v>22</v>
      </c>
      <c r="D71" s="3" t="s">
        <v>23</v>
      </c>
      <c r="E71" s="3" t="s">
        <v>24</v>
      </c>
      <c r="F71" s="3" t="s">
        <v>25</v>
      </c>
      <c r="G71" s="3" t="s">
        <v>26</v>
      </c>
      <c r="H71" t="s">
        <v>27</v>
      </c>
      <c r="I71" s="3" t="s">
        <v>28</v>
      </c>
      <c r="J71" s="3" t="s">
        <v>29</v>
      </c>
    </row>
    <row r="72" spans="1:10">
      <c r="A72" s="3"/>
      <c r="B72" s="3"/>
      <c r="C72" s="3">
        <f t="shared" ref="C72:F72" si="17">(C69-C68)/(C69+C68)</f>
        <v>0.362924281984334</v>
      </c>
      <c r="D72" s="3">
        <f t="shared" si="17"/>
        <v>0.701919458035378</v>
      </c>
      <c r="E72" s="3">
        <f t="shared" si="17"/>
        <v>0.659770114942529</v>
      </c>
      <c r="F72" s="3">
        <f t="shared" si="17"/>
        <v>0.642249197711734</v>
      </c>
      <c r="G72" s="3">
        <f t="shared" ref="G72:G75" si="18">D66-F66</f>
        <v>0.0081</v>
      </c>
      <c r="H72" s="3">
        <f t="shared" ref="H72:H75" si="19">G72/F66</f>
        <v>0.278350515463917</v>
      </c>
      <c r="I72" s="3">
        <f>SQRT(SUMSQ(G72:G75)/COUNTA(G72:G75))</f>
        <v>0.00997676425500773</v>
      </c>
      <c r="J72" s="3">
        <f>CORREL(D66:D69,F66:F69)</f>
        <v>0.99469776504656</v>
      </c>
    </row>
    <row r="73" spans="1:10">
      <c r="A73" s="3"/>
      <c r="B73" s="3"/>
      <c r="C73" s="3"/>
      <c r="D73" s="3"/>
      <c r="E73" s="3"/>
      <c r="F73" s="3"/>
      <c r="G73" s="3">
        <f t="shared" si="18"/>
        <v>0.01047</v>
      </c>
      <c r="H73" s="3">
        <f t="shared" si="19"/>
        <v>0.262867185538539</v>
      </c>
      <c r="I73" s="3" t="s">
        <v>30</v>
      </c>
      <c r="J73" s="3"/>
    </row>
    <row r="74" spans="3:10">
      <c r="C74" s="3"/>
      <c r="D74" s="3"/>
      <c r="E74" s="3"/>
      <c r="F74" s="3"/>
      <c r="G74" s="3">
        <f t="shared" si="18"/>
        <v>-0.01168</v>
      </c>
      <c r="H74" s="3">
        <f t="shared" si="19"/>
        <v>-0.22776911076443</v>
      </c>
      <c r="I74" s="3">
        <f>SUMPRODUCT(ABS(H72:H75))/COUNT(H72:H75)</f>
        <v>0.202123508379275</v>
      </c>
      <c r="J74" s="3"/>
    </row>
    <row r="75" spans="3:10">
      <c r="C75" s="3"/>
      <c r="D75" s="3"/>
      <c r="E75" s="3"/>
      <c r="F75" s="3"/>
      <c r="G75" s="3">
        <f t="shared" si="18"/>
        <v>-0.0093</v>
      </c>
      <c r="H75" s="3">
        <f t="shared" si="19"/>
        <v>-0.0395072217502124</v>
      </c>
      <c r="I75" s="3"/>
      <c r="J75" s="3"/>
    </row>
    <row r="78" spans="1:8">
      <c r="A78" s="3" t="s">
        <v>1</v>
      </c>
      <c r="B78" s="3" t="s">
        <v>55</v>
      </c>
      <c r="C78" s="3"/>
      <c r="D78" s="3"/>
      <c r="E78" s="3" t="s">
        <v>35</v>
      </c>
      <c r="F78" s="3"/>
      <c r="G78" s="3"/>
      <c r="H78" s="3"/>
    </row>
    <row r="79" spans="1:8">
      <c r="A79" s="3" t="s">
        <v>4</v>
      </c>
      <c r="B79" s="3" t="s">
        <v>56</v>
      </c>
      <c r="C79" s="3"/>
      <c r="D79" s="3"/>
      <c r="E79" s="3"/>
      <c r="F79" s="3"/>
      <c r="G79" s="3"/>
      <c r="H79" s="3"/>
    </row>
    <row r="81" spans="1:10">
      <c r="A81" s="3" t="s">
        <v>6</v>
      </c>
      <c r="B81" s="3" t="s">
        <v>7</v>
      </c>
      <c r="C81" s="3" t="s">
        <v>8</v>
      </c>
      <c r="D81" s="3" t="s">
        <v>9</v>
      </c>
      <c r="E81" s="3" t="s">
        <v>10</v>
      </c>
      <c r="F81" s="3" t="s">
        <v>11</v>
      </c>
      <c r="G81" s="3" t="s">
        <v>12</v>
      </c>
      <c r="H81" s="3" t="s">
        <v>13</v>
      </c>
      <c r="I81" s="3" t="s">
        <v>14</v>
      </c>
      <c r="J81" s="3" t="s">
        <v>15</v>
      </c>
    </row>
    <row r="82" spans="1:10">
      <c r="A82" s="3" t="s">
        <v>17</v>
      </c>
      <c r="B82" s="3">
        <v>0.485</v>
      </c>
      <c r="C82" s="3">
        <v>0.036</v>
      </c>
      <c r="D82" s="3">
        <v>0.0459</v>
      </c>
      <c r="E82" s="11">
        <v>0.0465</v>
      </c>
      <c r="F82" s="10">
        <v>0.0483</v>
      </c>
      <c r="G82" s="3">
        <f t="shared" ref="G82:G85" si="20">F82-E82</f>
        <v>0.0018</v>
      </c>
      <c r="H82" s="3">
        <f t="shared" ref="H82:H85" si="21">G82/F82</f>
        <v>0.0372670807453417</v>
      </c>
      <c r="I82" s="6">
        <f>SQRT(SUMSQ(G82:G85)/COUNTA(G82:G85))</f>
        <v>0.0167771421881082</v>
      </c>
      <c r="J82" s="3">
        <f>CORREL(E82:E85,F82:F85)</f>
        <v>0.999177302822107</v>
      </c>
    </row>
    <row r="83" spans="1:10">
      <c r="A83" s="3" t="s">
        <v>18</v>
      </c>
      <c r="B83" s="3">
        <v>0.555</v>
      </c>
      <c r="C83" s="3">
        <v>0.0234</v>
      </c>
      <c r="D83" s="3">
        <v>0.0678</v>
      </c>
      <c r="E83" s="11">
        <v>0.0746</v>
      </c>
      <c r="F83" s="10">
        <v>0.0896</v>
      </c>
      <c r="G83" s="3">
        <f t="shared" si="20"/>
        <v>0.015</v>
      </c>
      <c r="H83" s="3">
        <f t="shared" si="21"/>
        <v>0.167410714285714</v>
      </c>
      <c r="I83" s="3" t="s">
        <v>19</v>
      </c>
      <c r="J83" s="3"/>
    </row>
    <row r="84" spans="1:10">
      <c r="A84" s="3" t="s">
        <v>20</v>
      </c>
      <c r="B84" s="3">
        <v>0.66</v>
      </c>
      <c r="C84" s="3">
        <v>0.0192</v>
      </c>
      <c r="D84" s="3">
        <v>0.0793</v>
      </c>
      <c r="E84" s="11">
        <v>0.0958</v>
      </c>
      <c r="F84" s="10">
        <v>0.1044</v>
      </c>
      <c r="G84" s="3">
        <f t="shared" si="20"/>
        <v>0.00860000000000001</v>
      </c>
      <c r="H84" s="3">
        <f t="shared" si="21"/>
        <v>0.0823754789272032</v>
      </c>
      <c r="I84" s="6">
        <f>SUMPRODUCT(ABS(H82:H85))/COUNT(H82:H85)</f>
        <v>0.095864762896686</v>
      </c>
      <c r="J84" s="3"/>
    </row>
    <row r="85" spans="1:10">
      <c r="A85" s="3" t="s">
        <v>21</v>
      </c>
      <c r="B85" s="3">
        <v>0.83</v>
      </c>
      <c r="C85" s="3">
        <v>0.0263</v>
      </c>
      <c r="D85" s="3">
        <v>0.272</v>
      </c>
      <c r="E85" s="11">
        <v>0.269</v>
      </c>
      <c r="F85" s="10">
        <v>0.2977</v>
      </c>
      <c r="G85" s="3">
        <f t="shared" si="20"/>
        <v>0.0287</v>
      </c>
      <c r="H85" s="3">
        <f t="shared" si="21"/>
        <v>0.0964057776284851</v>
      </c>
      <c r="I85" s="3"/>
      <c r="J85" s="3"/>
    </row>
    <row r="86" spans="1:10">
      <c r="A86" s="3"/>
      <c r="B86" s="3"/>
      <c r="E86" s="3"/>
      <c r="F86" s="3"/>
      <c r="G86" s="3"/>
      <c r="H86" s="3"/>
      <c r="I86" s="3"/>
      <c r="J86" s="3"/>
    </row>
    <row r="87" spans="1:10">
      <c r="A87" s="3"/>
      <c r="B87" s="3"/>
      <c r="C87" s="3" t="s">
        <v>22</v>
      </c>
      <c r="D87" s="3" t="s">
        <v>23</v>
      </c>
      <c r="E87" s="3" t="s">
        <v>24</v>
      </c>
      <c r="F87" s="3" t="s">
        <v>25</v>
      </c>
      <c r="G87" s="3" t="s">
        <v>26</v>
      </c>
      <c r="H87" t="s">
        <v>27</v>
      </c>
      <c r="I87" s="3" t="s">
        <v>28</v>
      </c>
      <c r="J87" s="3" t="s">
        <v>29</v>
      </c>
    </row>
    <row r="88" spans="1:10">
      <c r="A88" s="3"/>
      <c r="B88" s="3"/>
      <c r="C88" s="3">
        <f t="shared" ref="C88:F88" si="22">(C85-C84)/(C85+C84)</f>
        <v>0.156043956043956</v>
      </c>
      <c r="D88" s="3">
        <f t="shared" si="22"/>
        <v>0.548534016510105</v>
      </c>
      <c r="E88" s="3">
        <f t="shared" si="22"/>
        <v>0.474780701754386</v>
      </c>
      <c r="F88" s="3">
        <f t="shared" si="22"/>
        <v>0.480726187515543</v>
      </c>
      <c r="G88" s="3">
        <f t="shared" ref="G88:G91" si="23">D82-F82</f>
        <v>-0.0024</v>
      </c>
      <c r="H88" s="3">
        <f t="shared" ref="H88:H91" si="24">G88/F82</f>
        <v>-0.0496894409937888</v>
      </c>
      <c r="I88" s="3">
        <f>SQRT(SUMSQ(G88:G91)/COUNTA(G88:G91))</f>
        <v>0.021044595505735</v>
      </c>
      <c r="J88" s="3">
        <f>CORREL(D82:D85,F82:F85)</f>
        <v>0.996461916190229</v>
      </c>
    </row>
    <row r="89" spans="1:10">
      <c r="A89" s="3"/>
      <c r="B89" s="3"/>
      <c r="C89" s="3"/>
      <c r="D89" s="3"/>
      <c r="E89" s="3"/>
      <c r="F89" s="3"/>
      <c r="G89" s="3">
        <f t="shared" si="23"/>
        <v>-0.0218</v>
      </c>
      <c r="H89" s="3">
        <f t="shared" si="24"/>
        <v>-0.243303571428571</v>
      </c>
      <c r="I89" s="3" t="s">
        <v>30</v>
      </c>
      <c r="J89" s="3"/>
    </row>
    <row r="90" spans="3:10">
      <c r="C90" s="3"/>
      <c r="D90" s="3"/>
      <c r="E90" s="3"/>
      <c r="F90" s="3"/>
      <c r="G90" s="3">
        <f t="shared" si="23"/>
        <v>-0.0251</v>
      </c>
      <c r="H90" s="3">
        <f t="shared" si="24"/>
        <v>-0.240421455938697</v>
      </c>
      <c r="I90" s="3">
        <f>SUMPRODUCT(ABS(H88:H91))/COUNT(H88:H91)</f>
        <v>0.154935746750997</v>
      </c>
      <c r="J90" s="3"/>
    </row>
    <row r="91" spans="3:10">
      <c r="C91" s="3"/>
      <c r="D91" s="3"/>
      <c r="E91" s="3"/>
      <c r="F91" s="3"/>
      <c r="G91" s="3">
        <f t="shared" si="23"/>
        <v>-0.0257</v>
      </c>
      <c r="H91" s="3">
        <f t="shared" si="24"/>
        <v>-0.0863285186429291</v>
      </c>
      <c r="I91" s="3"/>
      <c r="J91" s="3"/>
    </row>
    <row r="92" spans="1:9">
      <c r="A92" s="3" t="s">
        <v>1</v>
      </c>
      <c r="B92" s="3" t="s">
        <v>55</v>
      </c>
      <c r="C92" s="3"/>
      <c r="D92" s="3"/>
      <c r="E92" s="3" t="s">
        <v>32</v>
      </c>
      <c r="F92" s="3"/>
      <c r="G92" s="3"/>
      <c r="H92" s="3"/>
      <c r="I92" s="3"/>
    </row>
    <row r="93" spans="1:9">
      <c r="A93" s="3" t="s">
        <v>4</v>
      </c>
      <c r="B93" s="3" t="s">
        <v>57</v>
      </c>
      <c r="C93" s="3"/>
      <c r="D93" s="3"/>
      <c r="E93" s="3"/>
      <c r="F93" s="3"/>
      <c r="G93" s="3"/>
      <c r="H93" s="3"/>
      <c r="I93" s="3"/>
    </row>
    <row r="95" spans="1:10">
      <c r="A95" s="3" t="s">
        <v>6</v>
      </c>
      <c r="B95" s="3" t="s">
        <v>7</v>
      </c>
      <c r="C95" s="3" t="s">
        <v>8</v>
      </c>
      <c r="D95" s="3" t="s">
        <v>9</v>
      </c>
      <c r="E95" s="3" t="s">
        <v>10</v>
      </c>
      <c r="F95" s="3" t="s">
        <v>11</v>
      </c>
      <c r="G95" s="3" t="s">
        <v>12</v>
      </c>
      <c r="H95" s="3" t="s">
        <v>13</v>
      </c>
      <c r="I95" s="3" t="s">
        <v>14</v>
      </c>
      <c r="J95" s="3" t="s">
        <v>15</v>
      </c>
    </row>
    <row r="96" spans="1:10">
      <c r="A96" s="3" t="s">
        <v>17</v>
      </c>
      <c r="B96" s="3">
        <v>0.485</v>
      </c>
      <c r="C96" s="3">
        <v>0.0361</v>
      </c>
      <c r="D96" s="3">
        <v>0.045</v>
      </c>
      <c r="E96" s="11">
        <v>0.0513</v>
      </c>
      <c r="F96" s="13">
        <v>0.0397</v>
      </c>
      <c r="G96" s="3">
        <f t="shared" ref="G96:G99" si="25">F96-E96</f>
        <v>-0.0116</v>
      </c>
      <c r="H96" s="3">
        <f t="shared" ref="H96:H99" si="26">G96/F96</f>
        <v>-0.292191435768262</v>
      </c>
      <c r="I96" s="6">
        <f>SQRT(SUMSQ(G96:G99)/COUNTA(G96:G99))</f>
        <v>0.0097423046554704</v>
      </c>
      <c r="J96" s="3">
        <f>CORREL(E96:E99,F96:F99)</f>
        <v>0.99864472546108</v>
      </c>
    </row>
    <row r="97" spans="1:10">
      <c r="A97" s="3" t="s">
        <v>18</v>
      </c>
      <c r="B97" s="3">
        <v>0.555</v>
      </c>
      <c r="C97" s="3">
        <v>0.0254</v>
      </c>
      <c r="D97" s="3">
        <v>0.0847</v>
      </c>
      <c r="E97" s="11">
        <v>0.0841</v>
      </c>
      <c r="F97" s="13">
        <v>0.0843</v>
      </c>
      <c r="G97" s="3">
        <f t="shared" si="25"/>
        <v>0.000200000000000006</v>
      </c>
      <c r="H97" s="3">
        <f t="shared" si="26"/>
        <v>0.00237247924080671</v>
      </c>
      <c r="I97" s="3" t="s">
        <v>19</v>
      </c>
      <c r="J97" s="3"/>
    </row>
    <row r="98" spans="1:10">
      <c r="A98" s="3" t="s">
        <v>20</v>
      </c>
      <c r="B98" s="3">
        <v>0.66</v>
      </c>
      <c r="C98" s="3">
        <v>0.0179</v>
      </c>
      <c r="D98" s="3">
        <v>0.0776</v>
      </c>
      <c r="E98" s="11">
        <v>0.0801</v>
      </c>
      <c r="F98" s="13">
        <v>0.0753</v>
      </c>
      <c r="G98" s="3">
        <f t="shared" si="25"/>
        <v>-0.0048</v>
      </c>
      <c r="H98" s="3">
        <f t="shared" si="26"/>
        <v>-0.0637450199203187</v>
      </c>
      <c r="I98" s="6">
        <f>SUMPRODUCT(ABS(H96:H99))/COUNT(H96:H99)</f>
        <v>0.103337854345572</v>
      </c>
      <c r="J98" s="3"/>
    </row>
    <row r="99" spans="1:10">
      <c r="A99" s="3" t="s">
        <v>21</v>
      </c>
      <c r="B99" s="3">
        <v>0.83</v>
      </c>
      <c r="C99" s="3">
        <v>0.0335</v>
      </c>
      <c r="D99" s="3">
        <v>0.3081</v>
      </c>
      <c r="E99" s="11">
        <v>0.2856</v>
      </c>
      <c r="F99" s="13">
        <v>0.2707</v>
      </c>
      <c r="G99" s="3">
        <f t="shared" si="25"/>
        <v>-0.0149</v>
      </c>
      <c r="H99" s="3">
        <f t="shared" si="26"/>
        <v>-0.0550424824529</v>
      </c>
      <c r="I99" s="3"/>
      <c r="J99" s="3"/>
    </row>
    <row r="100" spans="1:10">
      <c r="A100" s="3"/>
      <c r="B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 t="s">
        <v>22</v>
      </c>
      <c r="D101" s="3" t="s">
        <v>23</v>
      </c>
      <c r="E101" s="3" t="s">
        <v>24</v>
      </c>
      <c r="F101" s="3" t="s">
        <v>25</v>
      </c>
      <c r="G101" s="3" t="s">
        <v>26</v>
      </c>
      <c r="H101" t="s">
        <v>27</v>
      </c>
      <c r="I101" s="3" t="s">
        <v>28</v>
      </c>
      <c r="J101" s="3" t="s">
        <v>29</v>
      </c>
    </row>
    <row r="102" spans="1:10">
      <c r="A102" s="3"/>
      <c r="B102" s="3"/>
      <c r="C102" s="3">
        <f t="shared" ref="C102:F102" si="27">(C99-C98)/(C99+C98)</f>
        <v>0.303501945525292</v>
      </c>
      <c r="D102" s="3">
        <f t="shared" si="27"/>
        <v>0.597614726471351</v>
      </c>
      <c r="E102" s="3">
        <f t="shared" si="27"/>
        <v>0.561936013125513</v>
      </c>
      <c r="F102" s="3">
        <f t="shared" si="27"/>
        <v>0.564739884393064</v>
      </c>
      <c r="G102" s="3">
        <f t="shared" ref="G102:G105" si="28">D96-F96</f>
        <v>0.0053</v>
      </c>
      <c r="H102" s="3">
        <f t="shared" ref="H102:H105" si="29">G102/F96</f>
        <v>0.133501259445844</v>
      </c>
      <c r="I102" s="3">
        <f>SQRT(SUMSQ(G102:G105)/COUNTA(G102:G105))</f>
        <v>0.0189228697612175</v>
      </c>
      <c r="J102" s="3">
        <f>CORREL(D96:D99,F96:F99)</f>
        <v>0.999080991289354</v>
      </c>
    </row>
    <row r="103" spans="1:10">
      <c r="A103" s="3"/>
      <c r="B103" s="3"/>
      <c r="C103" s="3"/>
      <c r="D103" s="3"/>
      <c r="E103" s="3"/>
      <c r="F103" s="3"/>
      <c r="G103" s="3">
        <f t="shared" si="28"/>
        <v>0.000399999999999998</v>
      </c>
      <c r="H103" s="3">
        <f t="shared" si="29"/>
        <v>0.00474495848161326</v>
      </c>
      <c r="I103" s="3" t="s">
        <v>30</v>
      </c>
      <c r="J103" s="3"/>
    </row>
    <row r="104" spans="3:10">
      <c r="C104" s="3"/>
      <c r="D104" s="3"/>
      <c r="E104" s="3"/>
      <c r="F104" s="3"/>
      <c r="G104" s="3">
        <f t="shared" si="28"/>
        <v>0.0023</v>
      </c>
      <c r="H104" s="3">
        <f t="shared" si="29"/>
        <v>0.0305444887118193</v>
      </c>
      <c r="I104" s="3">
        <f>SUMPRODUCT(ABS(H102:H105))/COUNT(H102:H105)</f>
        <v>0.0767377579305986</v>
      </c>
      <c r="J104" s="3"/>
    </row>
    <row r="105" spans="3:10">
      <c r="C105" s="3"/>
      <c r="D105" s="3"/>
      <c r="E105" s="3"/>
      <c r="F105" s="3"/>
      <c r="G105" s="3">
        <f t="shared" si="28"/>
        <v>0.0374</v>
      </c>
      <c r="H105" s="3">
        <f t="shared" si="29"/>
        <v>0.138160325083118</v>
      </c>
      <c r="I105" s="3"/>
      <c r="J105" s="3"/>
    </row>
    <row r="106" spans="1:15">
      <c r="A106" s="1" t="s">
        <v>58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2" t="s">
        <v>1</v>
      </c>
      <c r="B107" s="2" t="s">
        <v>44</v>
      </c>
      <c r="C107" s="2"/>
      <c r="D107" s="2"/>
      <c r="E107" s="2" t="s">
        <v>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 t="s">
        <v>4</v>
      </c>
      <c r="B108" s="2" t="s">
        <v>45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10" spans="1:13">
      <c r="A110" s="3" t="s">
        <v>6</v>
      </c>
      <c r="B110" s="3" t="s">
        <v>7</v>
      </c>
      <c r="C110" s="3" t="s">
        <v>8</v>
      </c>
      <c r="D110" s="3" t="s">
        <v>9</v>
      </c>
      <c r="E110" s="3" t="s">
        <v>10</v>
      </c>
      <c r="F110" s="3" t="s">
        <v>11</v>
      </c>
      <c r="G110" s="3" t="s">
        <v>12</v>
      </c>
      <c r="H110" s="3" t="s">
        <v>13</v>
      </c>
      <c r="I110" s="3" t="s">
        <v>14</v>
      </c>
      <c r="J110" s="3" t="s">
        <v>15</v>
      </c>
      <c r="K110" s="3"/>
      <c r="M110" s="3"/>
    </row>
    <row r="111" spans="1:13">
      <c r="A111" s="3" t="s">
        <v>17</v>
      </c>
      <c r="B111" s="3">
        <v>0.485</v>
      </c>
      <c r="C111" s="3">
        <v>0.0369</v>
      </c>
      <c r="D111" s="3">
        <v>0.0994</v>
      </c>
      <c r="E111" s="14">
        <v>0.078</v>
      </c>
      <c r="F111" s="10">
        <v>0.1016</v>
      </c>
      <c r="G111" s="3">
        <f t="shared" ref="G111:G114" si="30">F111-E111</f>
        <v>0.0236</v>
      </c>
      <c r="H111" s="3">
        <f t="shared" ref="H111:H114" si="31">G111/F111</f>
        <v>0.232283464566929</v>
      </c>
      <c r="I111" s="6">
        <f>SQRT(SUMSQ(G111:G114)/COUNTA(G111:G114))</f>
        <v>0.0546055629034259</v>
      </c>
      <c r="J111" s="3">
        <f>CORREL(E111:E114,F111:F114)</f>
        <v>0.955767123043615</v>
      </c>
      <c r="K111" s="3"/>
      <c r="M111" s="3"/>
    </row>
    <row r="112" spans="1:13">
      <c r="A112" s="3" t="s">
        <v>18</v>
      </c>
      <c r="B112" s="3">
        <v>0.555</v>
      </c>
      <c r="C112" s="3">
        <v>0.0278</v>
      </c>
      <c r="D112" s="3">
        <v>0.113</v>
      </c>
      <c r="E112" s="14">
        <v>0.097</v>
      </c>
      <c r="F112" s="10">
        <v>0.1289</v>
      </c>
      <c r="G112" s="3">
        <f t="shared" si="30"/>
        <v>0.0319</v>
      </c>
      <c r="H112" s="3">
        <f t="shared" si="31"/>
        <v>0.247478665632273</v>
      </c>
      <c r="I112" s="3" t="s">
        <v>19</v>
      </c>
      <c r="J112" s="3"/>
      <c r="M112" s="3"/>
    </row>
    <row r="113" spans="1:13">
      <c r="A113" s="3" t="s">
        <v>20</v>
      </c>
      <c r="B113" s="3">
        <v>0.66</v>
      </c>
      <c r="C113" s="3">
        <v>0.022</v>
      </c>
      <c r="D113" s="3">
        <v>0.1156</v>
      </c>
      <c r="E113" s="14">
        <v>0.1055</v>
      </c>
      <c r="F113" s="10">
        <v>0.152</v>
      </c>
      <c r="G113" s="3">
        <f t="shared" si="30"/>
        <v>0.0465</v>
      </c>
      <c r="H113" s="3">
        <f t="shared" si="31"/>
        <v>0.305921052631579</v>
      </c>
      <c r="I113" s="6">
        <f>SUMPRODUCT(ABS(H111:H114))/COUNT(H111:H114)</f>
        <v>0.304933985156137</v>
      </c>
      <c r="J113" s="3"/>
      <c r="M113" s="3"/>
    </row>
    <row r="114" spans="1:10">
      <c r="A114" s="3" t="s">
        <v>21</v>
      </c>
      <c r="B114" s="3">
        <v>0.83</v>
      </c>
      <c r="C114" s="3">
        <v>0.0176</v>
      </c>
      <c r="D114" s="3">
        <v>0.1156</v>
      </c>
      <c r="E114" s="14">
        <v>0.118</v>
      </c>
      <c r="F114" s="10">
        <v>0.2085</v>
      </c>
      <c r="G114" s="3">
        <f t="shared" si="30"/>
        <v>0.0905</v>
      </c>
      <c r="H114" s="3">
        <f t="shared" si="31"/>
        <v>0.434052757793765</v>
      </c>
      <c r="I114" s="3"/>
      <c r="J114" s="3"/>
    </row>
    <row r="115" spans="1:10">
      <c r="A115" s="3"/>
      <c r="B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 t="s">
        <v>22</v>
      </c>
      <c r="D116" s="3" t="s">
        <v>23</v>
      </c>
      <c r="E116" s="3" t="s">
        <v>24</v>
      </c>
      <c r="F116" s="3" t="s">
        <v>25</v>
      </c>
      <c r="G116" s="3" t="s">
        <v>26</v>
      </c>
      <c r="H116" t="s">
        <v>27</v>
      </c>
      <c r="I116" s="3" t="s">
        <v>28</v>
      </c>
      <c r="J116" s="3" t="s">
        <v>29</v>
      </c>
    </row>
    <row r="117" spans="3:10">
      <c r="C117" s="3">
        <f t="shared" ref="C117:F117" si="32">(C114-C113)/(C114+C113)</f>
        <v>-0.111111111111111</v>
      </c>
      <c r="D117" s="3">
        <f t="shared" si="32"/>
        <v>0</v>
      </c>
      <c r="E117" s="3">
        <f t="shared" si="32"/>
        <v>0.0559284116331096</v>
      </c>
      <c r="F117" s="3">
        <f t="shared" si="32"/>
        <v>0.156726768377254</v>
      </c>
      <c r="G117" s="3">
        <f t="shared" ref="G117:G120" si="33">D111-F111</f>
        <v>-0.00219999999999999</v>
      </c>
      <c r="H117" s="3">
        <f t="shared" ref="H117:H120" si="34">G117/F111</f>
        <v>-0.0216535433070866</v>
      </c>
      <c r="I117" s="3">
        <f>SQRT(SUMSQ(G117:G120)/COUNTA(G117:G120))</f>
        <v>0.0505297437159541</v>
      </c>
      <c r="J117" s="3">
        <f>CORREL(D111:D114,F111:F114)</f>
        <v>0.752726702547534</v>
      </c>
    </row>
    <row r="118" spans="3:10">
      <c r="C118" s="3"/>
      <c r="D118" s="3"/>
      <c r="E118" s="3"/>
      <c r="F118" s="3"/>
      <c r="G118" s="3">
        <f t="shared" si="33"/>
        <v>-0.0159</v>
      </c>
      <c r="H118" s="3">
        <f t="shared" si="34"/>
        <v>-0.123351435221102</v>
      </c>
      <c r="I118" s="3" t="s">
        <v>30</v>
      </c>
      <c r="J118" s="3"/>
    </row>
    <row r="119" spans="3:10">
      <c r="C119" s="3"/>
      <c r="D119" s="3"/>
      <c r="E119" s="3"/>
      <c r="F119" s="3"/>
      <c r="G119" s="3">
        <f t="shared" si="33"/>
        <v>-0.0364</v>
      </c>
      <c r="H119" s="3">
        <f t="shared" si="34"/>
        <v>-0.239473684210526</v>
      </c>
      <c r="I119" s="3">
        <f>SUMPRODUCT(ABS(H117:H120))/COUNT(H117:H120)</f>
        <v>0.207510552974846</v>
      </c>
      <c r="J119" s="3"/>
    </row>
    <row r="120" spans="3:10">
      <c r="C120" s="3"/>
      <c r="D120" s="3"/>
      <c r="E120" s="3"/>
      <c r="F120" s="3"/>
      <c r="G120" s="3">
        <f t="shared" si="33"/>
        <v>-0.0929</v>
      </c>
      <c r="H120" s="3">
        <f t="shared" si="34"/>
        <v>-0.445563549160671</v>
      </c>
      <c r="I120" s="3"/>
      <c r="J120" s="3"/>
    </row>
    <row r="123" spans="1:5">
      <c r="A123" s="2" t="s">
        <v>1</v>
      </c>
      <c r="B123" s="2" t="s">
        <v>44</v>
      </c>
      <c r="C123" s="2"/>
      <c r="D123" s="2"/>
      <c r="E123" s="2" t="s">
        <v>40</v>
      </c>
    </row>
    <row r="124" spans="1:5">
      <c r="A124" s="2" t="s">
        <v>4</v>
      </c>
      <c r="B124" s="2" t="s">
        <v>51</v>
      </c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10">
      <c r="A126" s="3" t="s">
        <v>6</v>
      </c>
      <c r="B126" s="3" t="s">
        <v>7</v>
      </c>
      <c r="C126" s="3" t="s">
        <v>8</v>
      </c>
      <c r="D126" s="3" t="s">
        <v>9</v>
      </c>
      <c r="E126" s="3" t="s">
        <v>10</v>
      </c>
      <c r="F126" s="3" t="s">
        <v>11</v>
      </c>
      <c r="G126" s="3" t="s">
        <v>12</v>
      </c>
      <c r="H126" s="3" t="s">
        <v>13</v>
      </c>
      <c r="I126" s="3" t="s">
        <v>14</v>
      </c>
      <c r="J126" s="3" t="s">
        <v>15</v>
      </c>
    </row>
    <row r="127" spans="1:10">
      <c r="A127" s="3" t="s">
        <v>17</v>
      </c>
      <c r="B127" s="3">
        <v>0.485</v>
      </c>
      <c r="C127" s="3">
        <v>0.0356</v>
      </c>
      <c r="D127" s="3">
        <v>0.0886</v>
      </c>
      <c r="E127" s="4">
        <v>0.0558</v>
      </c>
      <c r="F127" s="10">
        <v>0.0457</v>
      </c>
      <c r="G127" s="3">
        <f t="shared" ref="G127:G130" si="35">F127-E127</f>
        <v>-0.0101</v>
      </c>
      <c r="H127" s="3">
        <f t="shared" ref="H127:H130" si="36">G127/F127</f>
        <v>-0.221006564551422</v>
      </c>
      <c r="I127" s="6">
        <f>SQRT(SUMSQ(G127:G130)/COUNTA(G127:G130))</f>
        <v>0.0137332625402706</v>
      </c>
      <c r="J127" s="3">
        <f>CORREL(E127:E130,F127:F130)</f>
        <v>0.995445494890034</v>
      </c>
    </row>
    <row r="128" spans="1:10">
      <c r="A128" s="3" t="s">
        <v>18</v>
      </c>
      <c r="B128" s="3">
        <v>0.555</v>
      </c>
      <c r="C128" s="3">
        <v>0.0271</v>
      </c>
      <c r="D128" s="3">
        <v>0.1096</v>
      </c>
      <c r="E128" s="4">
        <v>0.0808</v>
      </c>
      <c r="F128" s="10">
        <v>0.0698</v>
      </c>
      <c r="G128" s="3">
        <f t="shared" si="35"/>
        <v>-0.011</v>
      </c>
      <c r="H128" s="3">
        <f t="shared" si="36"/>
        <v>-0.157593123209169</v>
      </c>
      <c r="I128" s="3" t="s">
        <v>19</v>
      </c>
      <c r="J128" s="3"/>
    </row>
    <row r="129" spans="1:10">
      <c r="A129" s="3" t="s">
        <v>20</v>
      </c>
      <c r="B129" s="3">
        <v>0.66</v>
      </c>
      <c r="C129" s="3">
        <v>0.0176</v>
      </c>
      <c r="D129" s="3">
        <v>0.0811</v>
      </c>
      <c r="E129" s="4">
        <v>0.0529</v>
      </c>
      <c r="F129" s="10">
        <v>0.0365</v>
      </c>
      <c r="G129" s="3">
        <f t="shared" si="35"/>
        <v>-0.0164</v>
      </c>
      <c r="H129" s="3">
        <f t="shared" si="36"/>
        <v>-0.449315068493151</v>
      </c>
      <c r="I129" s="6">
        <f>SUMPRODUCT(ABS(H127:H130))/COUNT(H127:H130)</f>
        <v>0.761773209611381</v>
      </c>
      <c r="J129" s="3"/>
    </row>
    <row r="130" spans="1:10">
      <c r="A130" s="3" t="s">
        <v>21</v>
      </c>
      <c r="B130" s="3">
        <v>0.83</v>
      </c>
      <c r="C130" s="3">
        <v>0.0074</v>
      </c>
      <c r="D130" s="3">
        <v>0.042</v>
      </c>
      <c r="E130" s="4">
        <v>0.0235</v>
      </c>
      <c r="F130" s="10">
        <v>0.0073</v>
      </c>
      <c r="G130" s="3">
        <f t="shared" si="35"/>
        <v>-0.0162</v>
      </c>
      <c r="H130" s="3">
        <f t="shared" si="36"/>
        <v>-2.21917808219178</v>
      </c>
      <c r="I130" s="3"/>
      <c r="J130" s="3"/>
    </row>
    <row r="131" spans="1:10">
      <c r="A131" s="3"/>
      <c r="B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26</v>
      </c>
      <c r="H132" t="s">
        <v>27</v>
      </c>
      <c r="I132" s="3" t="s">
        <v>28</v>
      </c>
      <c r="J132" s="3" t="s">
        <v>29</v>
      </c>
    </row>
    <row r="133" spans="3:10">
      <c r="C133" s="3">
        <f t="shared" ref="C133:F133" si="37">(C130-C129)/(C130+C129)</f>
        <v>-0.408</v>
      </c>
      <c r="D133" s="3">
        <f t="shared" si="37"/>
        <v>-0.317627944760357</v>
      </c>
      <c r="E133" s="3">
        <f t="shared" si="37"/>
        <v>-0.384816753926702</v>
      </c>
      <c r="F133" s="3">
        <f t="shared" si="37"/>
        <v>-0.666666666666667</v>
      </c>
      <c r="G133" s="3">
        <f t="shared" ref="G133:G136" si="38">D127-F127</f>
        <v>0.0429</v>
      </c>
      <c r="H133" s="3">
        <f t="shared" ref="H133:H136" si="39">G133/F127</f>
        <v>0.938730853391685</v>
      </c>
      <c r="I133" s="3">
        <f>SQRT(SUMSQ(G133:G136)/COUNTA(G133:G136))</f>
        <v>0.040674623538516</v>
      </c>
      <c r="J133" s="3">
        <f>CORREL(D127:D130,F127:F130)</f>
        <v>0.991070456135425</v>
      </c>
    </row>
    <row r="134" spans="3:10">
      <c r="C134" s="3"/>
      <c r="D134" s="3"/>
      <c r="E134" s="3"/>
      <c r="F134" s="3"/>
      <c r="G134" s="3">
        <f t="shared" si="38"/>
        <v>0.0398</v>
      </c>
      <c r="H134" s="3">
        <f t="shared" si="39"/>
        <v>0.570200573065903</v>
      </c>
      <c r="I134" s="3" t="s">
        <v>30</v>
      </c>
      <c r="J134" s="3"/>
    </row>
    <row r="135" spans="3:10">
      <c r="C135" s="3"/>
      <c r="D135" s="3"/>
      <c r="E135" s="3"/>
      <c r="F135" s="3"/>
      <c r="G135" s="3">
        <f t="shared" si="38"/>
        <v>0.0446</v>
      </c>
      <c r="H135" s="3">
        <f t="shared" si="39"/>
        <v>1.22191780821918</v>
      </c>
      <c r="I135" s="3">
        <f>SUMPRODUCT(ABS(H133:H136))/COUNT(H133:H136)</f>
        <v>1.87106847305275</v>
      </c>
      <c r="J135" s="3"/>
    </row>
    <row r="136" spans="3:10">
      <c r="C136" s="3"/>
      <c r="D136" s="3"/>
      <c r="E136" s="3"/>
      <c r="F136" s="3"/>
      <c r="G136" s="3">
        <f t="shared" si="38"/>
        <v>0.0347</v>
      </c>
      <c r="H136" s="3">
        <f t="shared" si="39"/>
        <v>4.75342465753425</v>
      </c>
      <c r="I136" s="3"/>
      <c r="J136" s="3"/>
    </row>
    <row r="140" spans="1:5">
      <c r="A140" s="2" t="s">
        <v>1</v>
      </c>
      <c r="B140" s="2" t="s">
        <v>59</v>
      </c>
      <c r="C140" s="2"/>
      <c r="D140" s="2"/>
      <c r="E140" s="2" t="s">
        <v>53</v>
      </c>
    </row>
    <row r="141" spans="1:5">
      <c r="A141" s="2" t="s">
        <v>4</v>
      </c>
      <c r="B141" s="2" t="s">
        <v>54</v>
      </c>
      <c r="C141" s="2"/>
      <c r="D141" s="2"/>
      <c r="E141" s="2"/>
    </row>
    <row r="143" spans="1:10">
      <c r="A143" s="3" t="s">
        <v>6</v>
      </c>
      <c r="B143" s="3" t="s">
        <v>7</v>
      </c>
      <c r="C143" s="3" t="s">
        <v>8</v>
      </c>
      <c r="D143" s="3" t="s">
        <v>9</v>
      </c>
      <c r="E143" s="3" t="s">
        <v>10</v>
      </c>
      <c r="F143" s="3" t="s">
        <v>11</v>
      </c>
      <c r="G143" s="3" t="s">
        <v>12</v>
      </c>
      <c r="H143" s="3" t="s">
        <v>13</v>
      </c>
      <c r="I143" s="3" t="s">
        <v>14</v>
      </c>
      <c r="J143" s="3" t="s">
        <v>15</v>
      </c>
    </row>
    <row r="144" spans="1:10">
      <c r="A144" s="3" t="s">
        <v>17</v>
      </c>
      <c r="B144" s="3">
        <v>0.485</v>
      </c>
      <c r="C144" s="3">
        <v>0.0336</v>
      </c>
      <c r="D144" s="3">
        <v>0.0715</v>
      </c>
      <c r="E144" s="4">
        <v>0.036</v>
      </c>
      <c r="F144" s="10">
        <v>0.0188</v>
      </c>
      <c r="G144" s="3">
        <f t="shared" ref="G144:G147" si="40">F144-E144</f>
        <v>-0.0172</v>
      </c>
      <c r="H144" s="3">
        <f t="shared" ref="H144:H147" si="41">G144/F144</f>
        <v>-0.914893617021276</v>
      </c>
      <c r="I144" s="6">
        <f>SQRT(SUMSQ(G144:G147)/COUNTA(G144:G147))</f>
        <v>0.0284996929808024</v>
      </c>
      <c r="J144" s="3">
        <f>CORREL(E144:E147,F144:F147)</f>
        <v>0.974780438721573</v>
      </c>
    </row>
    <row r="145" spans="1:10">
      <c r="A145" s="3" t="s">
        <v>18</v>
      </c>
      <c r="B145" s="3">
        <v>0.555</v>
      </c>
      <c r="C145" s="3">
        <v>0.0248</v>
      </c>
      <c r="D145" s="3">
        <v>0.0891</v>
      </c>
      <c r="E145" s="4">
        <v>0.0739</v>
      </c>
      <c r="F145" s="10">
        <v>0.028</v>
      </c>
      <c r="G145" s="3">
        <f t="shared" si="40"/>
        <v>-0.0459</v>
      </c>
      <c r="H145" s="3">
        <f t="shared" si="41"/>
        <v>-1.63928571428571</v>
      </c>
      <c r="I145" s="3" t="s">
        <v>19</v>
      </c>
      <c r="J145" s="3"/>
    </row>
    <row r="146" spans="1:10">
      <c r="A146" s="3" t="s">
        <v>20</v>
      </c>
      <c r="B146" s="3">
        <v>0.66</v>
      </c>
      <c r="C146" s="3">
        <v>0.0168</v>
      </c>
      <c r="D146" s="3">
        <v>0.0681</v>
      </c>
      <c r="E146" s="4">
        <v>0.0532</v>
      </c>
      <c r="F146" s="10">
        <v>0.031</v>
      </c>
      <c r="G146" s="3">
        <f t="shared" si="40"/>
        <v>-0.0222</v>
      </c>
      <c r="H146" s="3">
        <f t="shared" si="41"/>
        <v>-0.716129032258064</v>
      </c>
      <c r="I146" s="6">
        <f>SUMPRODUCT(ABS(H144:H147))/COUNT(H144:H147)</f>
        <v>0.84261704827006</v>
      </c>
      <c r="J146" s="3"/>
    </row>
    <row r="147" spans="1:10">
      <c r="A147" s="3" t="s">
        <v>21</v>
      </c>
      <c r="B147" s="3">
        <v>0.83</v>
      </c>
      <c r="C147" s="3">
        <v>0.019</v>
      </c>
      <c r="D147" s="3">
        <v>0.1702</v>
      </c>
      <c r="E147" s="4">
        <v>0.1689</v>
      </c>
      <c r="F147" s="10">
        <v>0.1877</v>
      </c>
      <c r="G147" s="3">
        <f t="shared" si="40"/>
        <v>0.0188</v>
      </c>
      <c r="H147" s="3">
        <f t="shared" si="41"/>
        <v>0.100159829515184</v>
      </c>
      <c r="I147" s="3"/>
      <c r="J147" s="3"/>
    </row>
    <row r="148" spans="1:10">
      <c r="A148" s="3"/>
      <c r="B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 t="s">
        <v>22</v>
      </c>
      <c r="D149" s="3" t="s">
        <v>23</v>
      </c>
      <c r="E149" s="3" t="s">
        <v>24</v>
      </c>
      <c r="F149" s="3" t="s">
        <v>25</v>
      </c>
      <c r="G149" s="3" t="s">
        <v>26</v>
      </c>
      <c r="H149" t="s">
        <v>27</v>
      </c>
      <c r="I149" s="3" t="s">
        <v>28</v>
      </c>
      <c r="J149" s="3" t="s">
        <v>29</v>
      </c>
    </row>
    <row r="150" spans="3:10">
      <c r="C150" s="3">
        <f t="shared" ref="C150:F150" si="42">(C147-C146)/(C147+C146)</f>
        <v>0.0614525139664805</v>
      </c>
      <c r="D150" s="3">
        <f t="shared" si="42"/>
        <v>0.428451531682753</v>
      </c>
      <c r="E150" s="3">
        <f t="shared" si="42"/>
        <v>0.520936515083296</v>
      </c>
      <c r="F150" s="3">
        <f t="shared" si="42"/>
        <v>0.716506630086877</v>
      </c>
      <c r="G150" s="3">
        <f t="shared" ref="G150:G153" si="43">D144-F144</f>
        <v>0.0527</v>
      </c>
      <c r="H150" s="3">
        <f t="shared" ref="H150:H153" si="44">G150/F144</f>
        <v>2.8031914893617</v>
      </c>
      <c r="I150" s="3">
        <f>SQRT(SUMSQ(G150:G153)/COUNTA(G150:G153))</f>
        <v>0.0452580379601237</v>
      </c>
      <c r="J150" s="3">
        <f>CORREL(D144:D147,F144:F147)</f>
        <v>0.980979613211036</v>
      </c>
    </row>
    <row r="151" spans="3:10">
      <c r="C151" s="3"/>
      <c r="D151" s="3"/>
      <c r="E151" s="3"/>
      <c r="F151" s="3"/>
      <c r="G151" s="3">
        <f t="shared" si="43"/>
        <v>0.0611</v>
      </c>
      <c r="H151" s="3">
        <f t="shared" si="44"/>
        <v>2.18214285714286</v>
      </c>
      <c r="I151" s="3" t="s">
        <v>30</v>
      </c>
      <c r="J151" s="3"/>
    </row>
    <row r="152" spans="3:10">
      <c r="C152" s="3"/>
      <c r="D152" s="3"/>
      <c r="E152" s="3"/>
      <c r="F152" s="3"/>
      <c r="G152" s="3">
        <f t="shared" si="43"/>
        <v>0.0371</v>
      </c>
      <c r="H152" s="3">
        <f t="shared" si="44"/>
        <v>1.19677419354839</v>
      </c>
      <c r="I152" s="3">
        <f>SUMPRODUCT(ABS(H150:H153))/COUNT(H150:H153)</f>
        <v>1.56883560597754</v>
      </c>
      <c r="J152" s="3"/>
    </row>
    <row r="153" spans="3:10">
      <c r="C153" s="3"/>
      <c r="D153" s="3"/>
      <c r="E153" s="3"/>
      <c r="F153" s="3"/>
      <c r="G153" s="3">
        <f t="shared" si="43"/>
        <v>-0.0175</v>
      </c>
      <c r="H153" s="3">
        <f t="shared" si="44"/>
        <v>-0.093233883857219</v>
      </c>
      <c r="I153" s="3"/>
      <c r="J153" s="3"/>
    </row>
    <row r="156" spans="1:5">
      <c r="A156" s="2" t="s">
        <v>1</v>
      </c>
      <c r="B156" s="2" t="s">
        <v>60</v>
      </c>
      <c r="C156" s="2"/>
      <c r="D156" s="2"/>
      <c r="E156" s="2" t="s">
        <v>35</v>
      </c>
    </row>
    <row r="157" spans="1:5">
      <c r="A157" s="2" t="s">
        <v>4</v>
      </c>
      <c r="B157" s="2" t="s">
        <v>56</v>
      </c>
      <c r="C157" s="2"/>
      <c r="D157" s="2"/>
      <c r="E157" s="2"/>
    </row>
    <row r="159" spans="1:11">
      <c r="A159" s="3" t="s">
        <v>6</v>
      </c>
      <c r="B159" s="3" t="s">
        <v>7</v>
      </c>
      <c r="C159" s="3" t="s">
        <v>8</v>
      </c>
      <c r="D159" s="3" t="s">
        <v>9</v>
      </c>
      <c r="E159" s="3" t="s">
        <v>10</v>
      </c>
      <c r="F159" s="3" t="s">
        <v>11</v>
      </c>
      <c r="G159" s="3" t="s">
        <v>12</v>
      </c>
      <c r="H159" s="3" t="s">
        <v>13</v>
      </c>
      <c r="I159" s="3" t="s">
        <v>14</v>
      </c>
      <c r="J159" s="3" t="s">
        <v>15</v>
      </c>
      <c r="K159" t="s">
        <v>16</v>
      </c>
    </row>
    <row r="160" spans="1:11">
      <c r="A160" s="3" t="s">
        <v>17</v>
      </c>
      <c r="B160" s="3">
        <v>0.485</v>
      </c>
      <c r="C160" s="3">
        <v>0.0351</v>
      </c>
      <c r="D160" s="3">
        <v>0.0842</v>
      </c>
      <c r="E160" s="11">
        <v>0.0542</v>
      </c>
      <c r="F160" s="10">
        <v>0.0536</v>
      </c>
      <c r="G160" s="3">
        <f t="shared" ref="G160:G163" si="45">F160-E160</f>
        <v>-0.000599999999999996</v>
      </c>
      <c r="H160" s="3">
        <f>ABS(G160/F160)</f>
        <v>0.0111940298507462</v>
      </c>
      <c r="I160" s="6">
        <f>SQRT(SUMSQ(G160:G163)/COUNTA(G160:G163))</f>
        <v>0.0144690186260161</v>
      </c>
      <c r="J160" s="3">
        <f>CORREL(E160:E163,F160:F163)</f>
        <v>0.984122803908121</v>
      </c>
      <c r="K160" s="7">
        <f>J160*J160</f>
        <v>0.968497693171982</v>
      </c>
    </row>
    <row r="161" spans="1:10">
      <c r="A161" s="3" t="s">
        <v>18</v>
      </c>
      <c r="B161" s="3">
        <v>0.555</v>
      </c>
      <c r="C161" s="3">
        <v>0.0264</v>
      </c>
      <c r="D161" s="3">
        <v>0.1086</v>
      </c>
      <c r="E161" s="11">
        <v>0.0736</v>
      </c>
      <c r="F161" s="10">
        <v>0.0878</v>
      </c>
      <c r="G161" s="3">
        <f t="shared" si="45"/>
        <v>0.0142</v>
      </c>
      <c r="H161" s="3">
        <f>ABS(G161/F161)</f>
        <v>0.161731207289294</v>
      </c>
      <c r="I161" s="3" t="s">
        <v>19</v>
      </c>
      <c r="J161" s="3"/>
    </row>
    <row r="162" spans="1:10">
      <c r="A162" s="3" t="s">
        <v>20</v>
      </c>
      <c r="B162" s="3">
        <v>0.66</v>
      </c>
      <c r="C162" s="3">
        <v>0.0224</v>
      </c>
      <c r="D162" s="3">
        <v>0.118</v>
      </c>
      <c r="E162" s="11">
        <v>0.1042</v>
      </c>
      <c r="F162" s="10">
        <v>0.1288</v>
      </c>
      <c r="G162" s="3">
        <f t="shared" si="45"/>
        <v>0.0246</v>
      </c>
      <c r="H162" s="3">
        <f>ABS(G162/F162)</f>
        <v>0.190993788819876</v>
      </c>
      <c r="I162" s="6">
        <f>SUMPRODUCT(ABS(H160:H163))/COUNT(H160:H163)</f>
        <v>0.0979559107264072</v>
      </c>
      <c r="J162" s="3"/>
    </row>
    <row r="163" spans="1:10">
      <c r="A163" s="3" t="s">
        <v>21</v>
      </c>
      <c r="B163" s="3">
        <v>0.83</v>
      </c>
      <c r="C163" s="3">
        <v>0.018</v>
      </c>
      <c r="D163" s="3">
        <v>0.2079</v>
      </c>
      <c r="E163" s="11">
        <v>0.1916</v>
      </c>
      <c r="F163" s="10">
        <v>0.1971</v>
      </c>
      <c r="G163" s="3">
        <f t="shared" si="45"/>
        <v>0.0055</v>
      </c>
      <c r="H163" s="3">
        <f>ABS(G163/F163)</f>
        <v>0.0279046169457128</v>
      </c>
      <c r="I163" s="3"/>
      <c r="J163" s="3"/>
    </row>
    <row r="164" spans="1:11">
      <c r="A164" s="3"/>
      <c r="B164" s="3"/>
      <c r="E164" s="3"/>
      <c r="F164" s="3"/>
      <c r="G164" s="3"/>
      <c r="H164" s="3">
        <f>AVERAGE(H160:H163)</f>
        <v>0.0979559107264072</v>
      </c>
      <c r="I164" s="3"/>
      <c r="J164" s="3"/>
      <c r="K164" s="3"/>
    </row>
    <row r="165" spans="1:11">
      <c r="A165" s="3"/>
      <c r="B165" s="3"/>
      <c r="C165" s="3" t="s">
        <v>22</v>
      </c>
      <c r="D165" s="3" t="s">
        <v>23</v>
      </c>
      <c r="E165" s="3" t="s">
        <v>24</v>
      </c>
      <c r="F165" s="3" t="s">
        <v>25</v>
      </c>
      <c r="G165" s="3" t="s">
        <v>26</v>
      </c>
      <c r="H165" t="s">
        <v>27</v>
      </c>
      <c r="I165" s="3" t="s">
        <v>28</v>
      </c>
      <c r="J165" s="3" t="s">
        <v>29</v>
      </c>
      <c r="K165" t="s">
        <v>16</v>
      </c>
    </row>
    <row r="166" spans="3:11">
      <c r="C166" s="3">
        <f t="shared" ref="C166:F166" si="46">(C163-C162)/(C163+C162)</f>
        <v>-0.108910891089109</v>
      </c>
      <c r="D166" s="3">
        <f t="shared" si="46"/>
        <v>0.27585148818656</v>
      </c>
      <c r="E166" s="3">
        <f t="shared" si="46"/>
        <v>0.295469912102772</v>
      </c>
      <c r="F166" s="3">
        <f t="shared" si="46"/>
        <v>0.209573488800245</v>
      </c>
      <c r="G166" s="3">
        <f t="shared" ref="G166:G169" si="47">D160-F160</f>
        <v>0.0306</v>
      </c>
      <c r="H166" s="3">
        <f t="shared" ref="H166:H169" si="48">G166/F160</f>
        <v>0.57089552238806</v>
      </c>
      <c r="I166" s="3">
        <f>SQRT(SUMSQ(G166:G169)/COUNTA(G166:G169))</f>
        <v>0.0200142449270513</v>
      </c>
      <c r="J166" s="3">
        <f>CORREL(D160:D163,F160:F163)</f>
        <v>0.961742577749078</v>
      </c>
      <c r="K166" s="7">
        <f>J166*J166</f>
        <v>0.924948785855441</v>
      </c>
    </row>
    <row r="167" spans="3:10">
      <c r="C167" s="3"/>
      <c r="D167" s="3"/>
      <c r="E167" s="3"/>
      <c r="F167" s="3"/>
      <c r="G167" s="3">
        <f t="shared" si="47"/>
        <v>0.0208</v>
      </c>
      <c r="H167" s="3">
        <f t="shared" si="48"/>
        <v>0.236902050113895</v>
      </c>
      <c r="I167" s="3" t="s">
        <v>30</v>
      </c>
      <c r="J167" s="3"/>
    </row>
    <row r="168" spans="3:10">
      <c r="C168" s="3"/>
      <c r="D168" s="3"/>
      <c r="E168" s="3"/>
      <c r="F168" s="3"/>
      <c r="G168" s="3">
        <f t="shared" si="47"/>
        <v>-0.0108</v>
      </c>
      <c r="H168" s="3">
        <f>ABS(G168/F162)</f>
        <v>0.0838509316770186</v>
      </c>
      <c r="I168" s="3">
        <f>SUMPRODUCT(ABS(H166:H169))/COUNT(H166:H169)</f>
        <v>0.23661075618173</v>
      </c>
      <c r="J168" s="3"/>
    </row>
    <row r="169" spans="3:10">
      <c r="C169" s="3"/>
      <c r="D169" s="3"/>
      <c r="E169" s="3"/>
      <c r="F169" s="3"/>
      <c r="G169" s="3">
        <f t="shared" si="47"/>
        <v>0.0108</v>
      </c>
      <c r="H169" s="3">
        <f t="shared" si="48"/>
        <v>0.0547945205479452</v>
      </c>
      <c r="I169" s="3"/>
      <c r="J169" s="3"/>
    </row>
    <row r="170" spans="1:8">
      <c r="A170" s="2" t="s">
        <v>1</v>
      </c>
      <c r="B170" s="2" t="s">
        <v>61</v>
      </c>
      <c r="C170" s="2"/>
      <c r="D170" s="2"/>
      <c r="E170" s="2" t="s">
        <v>32</v>
      </c>
      <c r="H170">
        <f>AVERAGE(H166:H169)</f>
        <v>0.23661075618173</v>
      </c>
    </row>
    <row r="171" spans="1:5">
      <c r="A171" s="2" t="s">
        <v>4</v>
      </c>
      <c r="B171" s="2" t="s">
        <v>57</v>
      </c>
      <c r="C171" s="2"/>
      <c r="D171" s="2"/>
      <c r="E171" s="2"/>
    </row>
    <row r="173" spans="1:10">
      <c r="A173" s="3" t="s">
        <v>6</v>
      </c>
      <c r="B173" s="3" t="s">
        <v>7</v>
      </c>
      <c r="C173" s="3" t="s">
        <v>8</v>
      </c>
      <c r="D173" s="3" t="s">
        <v>9</v>
      </c>
      <c r="E173" s="3" t="s">
        <v>10</v>
      </c>
      <c r="F173" s="3" t="s">
        <v>11</v>
      </c>
      <c r="G173" s="3" t="s">
        <v>12</v>
      </c>
      <c r="H173" s="3" t="s">
        <v>13</v>
      </c>
      <c r="I173" s="3" t="s">
        <v>14</v>
      </c>
      <c r="J173" s="3" t="s">
        <v>15</v>
      </c>
    </row>
    <row r="174" spans="1:10">
      <c r="A174" s="3" t="s">
        <v>17</v>
      </c>
      <c r="B174" s="3">
        <v>0.485</v>
      </c>
      <c r="C174" s="3">
        <v>0.0342</v>
      </c>
      <c r="D174" s="3">
        <v>0.0773</v>
      </c>
      <c r="E174" s="11">
        <v>0.0574</v>
      </c>
      <c r="F174" s="10">
        <v>0.0563</v>
      </c>
      <c r="G174" s="3">
        <f t="shared" ref="G174:G177" si="49">F174-E174</f>
        <v>-0.0011</v>
      </c>
      <c r="H174" s="3">
        <f t="shared" ref="H174:H177" si="50">G174/F174</f>
        <v>-0.019538188277087</v>
      </c>
      <c r="I174" s="6">
        <f>SQRT(SUMSQ(G174:G177)/COUNTA(G174:G177))</f>
        <v>0.0157931947369745</v>
      </c>
      <c r="J174" s="3">
        <f>CORREL(E174:E177,F174:F177)</f>
        <v>0.972125439076259</v>
      </c>
    </row>
    <row r="175" spans="1:10">
      <c r="A175" s="3" t="s">
        <v>18</v>
      </c>
      <c r="B175" s="3">
        <v>0.555</v>
      </c>
      <c r="C175" s="3">
        <v>0.024</v>
      </c>
      <c r="D175" s="3">
        <v>0.1007</v>
      </c>
      <c r="E175" s="11">
        <v>0.094</v>
      </c>
      <c r="F175" s="10">
        <v>0.0817</v>
      </c>
      <c r="G175" s="3">
        <f t="shared" si="49"/>
        <v>-0.0123</v>
      </c>
      <c r="H175" s="3">
        <f t="shared" si="50"/>
        <v>-0.150550795593635</v>
      </c>
      <c r="I175" s="3" t="s">
        <v>19</v>
      </c>
      <c r="J175" s="3"/>
    </row>
    <row r="176" spans="1:10">
      <c r="A176" s="3" t="s">
        <v>20</v>
      </c>
      <c r="B176" s="3">
        <v>0.66</v>
      </c>
      <c r="C176" s="3">
        <v>0.0192</v>
      </c>
      <c r="D176" s="3">
        <v>0.0908</v>
      </c>
      <c r="E176" s="11">
        <v>0.0917</v>
      </c>
      <c r="F176" s="10">
        <v>0.1179</v>
      </c>
      <c r="G176" s="3">
        <f t="shared" si="49"/>
        <v>0.0262</v>
      </c>
      <c r="H176" s="3">
        <f t="shared" si="50"/>
        <v>0.222222222222222</v>
      </c>
      <c r="I176" s="6">
        <f>SUMPRODUCT(ABS(H174:H177))/COUNT(H174:H177)</f>
        <v>0.112567221946419</v>
      </c>
      <c r="J176" s="3"/>
    </row>
    <row r="177" spans="1:10">
      <c r="A177" s="3" t="s">
        <v>21</v>
      </c>
      <c r="B177" s="3">
        <v>0.83</v>
      </c>
      <c r="C177" s="3">
        <v>0.0212</v>
      </c>
      <c r="D177" s="3">
        <v>0.2063</v>
      </c>
      <c r="E177" s="11">
        <v>0.23</v>
      </c>
      <c r="F177" s="10">
        <v>0.2174</v>
      </c>
      <c r="G177" s="3">
        <f t="shared" si="49"/>
        <v>-0.0126</v>
      </c>
      <c r="H177" s="3">
        <f t="shared" si="50"/>
        <v>-0.0579576816927323</v>
      </c>
      <c r="I177" s="3"/>
      <c r="J177" s="3"/>
    </row>
    <row r="178" spans="1:10">
      <c r="A178" s="3"/>
      <c r="B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 t="s">
        <v>22</v>
      </c>
      <c r="D179" s="3" t="s">
        <v>23</v>
      </c>
      <c r="E179" s="3" t="s">
        <v>24</v>
      </c>
      <c r="F179" s="3" t="s">
        <v>25</v>
      </c>
      <c r="G179" s="3" t="s">
        <v>26</v>
      </c>
      <c r="H179" t="s">
        <v>27</v>
      </c>
      <c r="I179" s="3" t="s">
        <v>28</v>
      </c>
      <c r="J179" s="3" t="s">
        <v>29</v>
      </c>
    </row>
    <row r="180" spans="3:10">
      <c r="C180" s="3">
        <f t="shared" ref="C180:F180" si="51">(C177-C176)/(C177+C176)</f>
        <v>0.0495049504950495</v>
      </c>
      <c r="D180" s="3">
        <f t="shared" si="51"/>
        <v>0.388757993941434</v>
      </c>
      <c r="E180" s="3">
        <f t="shared" si="51"/>
        <v>0.429903636928816</v>
      </c>
      <c r="F180" s="3">
        <f t="shared" si="51"/>
        <v>0.29674917983895</v>
      </c>
      <c r="G180" s="3">
        <f t="shared" ref="G180:G183" si="52">D174-F174</f>
        <v>0.021</v>
      </c>
      <c r="H180" s="3">
        <f t="shared" ref="H180:H183" si="53">G180/F174</f>
        <v>0.373001776198934</v>
      </c>
      <c r="I180" s="3">
        <f>SQRT(SUMSQ(G180:G183)/COUNTA(G180:G183))</f>
        <v>0.0203692169707134</v>
      </c>
      <c r="J180" s="3">
        <f>CORREL(D174:D177,F174:F177)</f>
        <v>0.949946312549796</v>
      </c>
    </row>
    <row r="181" spans="3:10">
      <c r="C181" s="3"/>
      <c r="D181" s="3"/>
      <c r="E181" s="3"/>
      <c r="F181" s="3"/>
      <c r="G181" s="3">
        <f t="shared" si="52"/>
        <v>0.019</v>
      </c>
      <c r="H181" s="3">
        <f t="shared" si="53"/>
        <v>0.232558139534884</v>
      </c>
      <c r="I181" s="3" t="s">
        <v>30</v>
      </c>
      <c r="J181" s="3"/>
    </row>
    <row r="182" spans="3:10">
      <c r="C182" s="3"/>
      <c r="D182" s="3"/>
      <c r="E182" s="3"/>
      <c r="F182" s="3"/>
      <c r="G182" s="3">
        <f t="shared" si="52"/>
        <v>-0.0271</v>
      </c>
      <c r="H182" s="3">
        <f t="shared" si="53"/>
        <v>-0.229855810008482</v>
      </c>
      <c r="I182" s="3">
        <f>SUMPRODUCT(ABS(H180:H183))/COUNT(H180:H183)</f>
        <v>0.221618420855998</v>
      </c>
      <c r="J182" s="3"/>
    </row>
    <row r="183" spans="3:10">
      <c r="C183" s="3"/>
      <c r="D183" s="3"/>
      <c r="E183" s="3"/>
      <c r="F183" s="3"/>
      <c r="G183" s="3">
        <f t="shared" si="52"/>
        <v>-0.0111</v>
      </c>
      <c r="H183" s="3">
        <f t="shared" si="53"/>
        <v>-0.0510579576816927</v>
      </c>
      <c r="I183" s="3"/>
      <c r="J183" s="3"/>
    </row>
  </sheetData>
  <mergeCells count="6">
    <mergeCell ref="A1:O1"/>
    <mergeCell ref="A32:O32"/>
    <mergeCell ref="B33:D33"/>
    <mergeCell ref="B48:D48"/>
    <mergeCell ref="B62:D62"/>
    <mergeCell ref="A106:O106"/>
  </mergeCells>
  <hyperlinks>
    <hyperlink ref="A9" r:id="rId1" display="near-infrared" tooltip="file:///D:\Software\youdao\Dict\8.10.3.0\resultui\html\index.html#\javascript: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zoomScale="70" zoomScaleNormal="70" workbookViewId="0">
      <selection activeCell="K11" sqref="K11:K12"/>
    </sheetView>
  </sheetViews>
  <sheetFormatPr defaultColWidth="8.88888888888889" defaultRowHeight="14.4"/>
  <cols>
    <col min="2" max="2" width="14.5555555555556" customWidth="1"/>
    <col min="3" max="3" width="17.1111111111111" customWidth="1"/>
    <col min="4" max="4" width="9.66666666666667"/>
    <col min="5" max="5" width="14.6666666666667" customWidth="1"/>
    <col min="6" max="6" width="12.7777777777778" customWidth="1"/>
    <col min="7" max="7" width="14.3333333333333" customWidth="1"/>
    <col min="8" max="8" width="18" customWidth="1"/>
    <col min="9" max="9" width="28.2222222222222" customWidth="1"/>
    <col min="10" max="10" width="16.3333333333333" customWidth="1"/>
  </cols>
  <sheetData>
    <row r="1" spans="1:12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 t="s">
        <v>63</v>
      </c>
      <c r="C2" s="2"/>
      <c r="D2" s="2" t="s">
        <v>3</v>
      </c>
      <c r="E2" s="2"/>
      <c r="F2" s="2"/>
      <c r="G2" s="2"/>
      <c r="H2" s="2"/>
      <c r="I2" s="2"/>
      <c r="J2" s="2"/>
      <c r="K2" s="2"/>
      <c r="L2" s="2"/>
    </row>
    <row r="3" spans="1:12">
      <c r="A3" s="2" t="s">
        <v>4</v>
      </c>
      <c r="B3" s="2" t="s">
        <v>64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spans="1:1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t="s">
        <v>16</v>
      </c>
    </row>
    <row r="6" spans="1:11">
      <c r="A6" s="3" t="s">
        <v>17</v>
      </c>
      <c r="B6" s="3">
        <v>0.485</v>
      </c>
      <c r="C6" s="3">
        <v>0.0429</v>
      </c>
      <c r="D6" s="3">
        <v>0.0421</v>
      </c>
      <c r="E6" s="4">
        <v>0.0462</v>
      </c>
      <c r="F6" s="9">
        <v>0.0501</v>
      </c>
      <c r="G6" s="3">
        <f>F6-E6</f>
        <v>0.0039</v>
      </c>
      <c r="H6" s="3">
        <f>G6/F6</f>
        <v>0.0778443113772455</v>
      </c>
      <c r="I6" s="6">
        <f>SQRT(SUMSQ(G6:G9)/COUNTA(G6:G9))</f>
        <v>0.00992610195393943</v>
      </c>
      <c r="J6" s="3">
        <f>CORREL(E6:E9,F6:F9)</f>
        <v>0.997687441701038</v>
      </c>
      <c r="K6" s="7">
        <f>J6*J6</f>
        <v>0.995380231327962</v>
      </c>
    </row>
    <row r="7" spans="1:10">
      <c r="A7" s="3" t="s">
        <v>18</v>
      </c>
      <c r="B7" s="3">
        <v>0.555</v>
      </c>
      <c r="C7" s="3">
        <v>0.0339</v>
      </c>
      <c r="D7" s="3">
        <v>0.0785</v>
      </c>
      <c r="E7" s="4">
        <v>0.0757</v>
      </c>
      <c r="F7" s="9">
        <v>0.0792</v>
      </c>
      <c r="G7" s="3">
        <f t="shared" ref="G6:G9" si="0">F7-E7</f>
        <v>0.0035</v>
      </c>
      <c r="H7" s="3">
        <f>G7/F7</f>
        <v>0.0441919191919192</v>
      </c>
      <c r="I7" s="3" t="s">
        <v>19</v>
      </c>
      <c r="J7" s="3"/>
    </row>
    <row r="8" spans="1:10">
      <c r="A8" s="3" t="s">
        <v>20</v>
      </c>
      <c r="B8" s="3">
        <v>0.66</v>
      </c>
      <c r="C8" s="3">
        <v>0.0283</v>
      </c>
      <c r="D8" s="3">
        <v>0.0751</v>
      </c>
      <c r="E8" s="4">
        <v>0.0754</v>
      </c>
      <c r="F8" s="9">
        <v>0.0933</v>
      </c>
      <c r="G8" s="3">
        <f t="shared" si="0"/>
        <v>0.0179</v>
      </c>
      <c r="H8" s="3">
        <f t="shared" ref="H6:H9" si="1">G8/F8</f>
        <v>0.191854233654877</v>
      </c>
      <c r="I8" s="6">
        <f>SUMPRODUCT(ABS(H6:H9))/COUNT(H6:H9)</f>
        <v>0.0847899701994515</v>
      </c>
      <c r="J8" s="3"/>
    </row>
    <row r="9" spans="1:10">
      <c r="A9" s="3" t="s">
        <v>21</v>
      </c>
      <c r="B9" s="3">
        <v>0.83</v>
      </c>
      <c r="C9" s="3">
        <v>0.0375</v>
      </c>
      <c r="D9" s="3">
        <v>0.2676</v>
      </c>
      <c r="E9" s="4">
        <v>0.2623</v>
      </c>
      <c r="F9" s="9">
        <v>0.2691</v>
      </c>
      <c r="G9" s="3">
        <f t="shared" si="0"/>
        <v>0.00680000000000003</v>
      </c>
      <c r="H9" s="3">
        <f t="shared" si="1"/>
        <v>0.0252694165737645</v>
      </c>
      <c r="I9" s="3"/>
      <c r="J9" s="3"/>
    </row>
    <row r="10" spans="1:10">
      <c r="A10" s="3"/>
      <c r="B10" s="3"/>
      <c r="E10" s="3"/>
      <c r="F10" s="3"/>
      <c r="G10" s="3"/>
      <c r="H10" s="3">
        <f>AVERAGE(H6:H9)</f>
        <v>0.0847899701994515</v>
      </c>
      <c r="I10" s="3"/>
      <c r="J10" s="3"/>
    </row>
    <row r="11" spans="1:11">
      <c r="A11" s="3"/>
      <c r="B11" s="3"/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t="s">
        <v>27</v>
      </c>
      <c r="I11" s="3" t="s">
        <v>28</v>
      </c>
      <c r="J11" s="3" t="s">
        <v>29</v>
      </c>
      <c r="K11" t="s">
        <v>16</v>
      </c>
    </row>
    <row r="12" spans="3:11">
      <c r="C12" s="3">
        <f t="shared" ref="C12:F12" si="2">(C9-C8)/(C9+C8)</f>
        <v>0.139817629179331</v>
      </c>
      <c r="D12" s="3">
        <f t="shared" si="2"/>
        <v>0.561715786402101</v>
      </c>
      <c r="E12" s="3">
        <f t="shared" si="2"/>
        <v>0.553449807521469</v>
      </c>
      <c r="F12" s="3">
        <f t="shared" si="2"/>
        <v>0.485099337748344</v>
      </c>
      <c r="G12" s="3">
        <f t="shared" ref="G12:G15" si="3">D6-F6</f>
        <v>-0.008</v>
      </c>
      <c r="H12" s="3">
        <f t="shared" ref="H12:H15" si="4">G12/F6</f>
        <v>-0.159680638722555</v>
      </c>
      <c r="I12" s="3">
        <f>SQRT(SUMSQ(G12:G15)/COUNTA(G12:G15))</f>
        <v>0.00997471804112778</v>
      </c>
      <c r="J12" s="3">
        <f>CORREL(D6:D9,F6:F9)</f>
        <v>0.997351027729011</v>
      </c>
      <c r="K12" s="7">
        <f>J12*J12</f>
        <v>0.994709072512114</v>
      </c>
    </row>
    <row r="13" spans="3:10">
      <c r="C13" s="3"/>
      <c r="D13" s="3"/>
      <c r="E13" s="3"/>
      <c r="F13" s="3"/>
      <c r="G13" s="3">
        <f t="shared" si="3"/>
        <v>-0.000700000000000006</v>
      </c>
      <c r="H13" s="3">
        <f t="shared" si="4"/>
        <v>-0.00883838383838392</v>
      </c>
      <c r="I13" s="3" t="s">
        <v>30</v>
      </c>
      <c r="J13" s="3"/>
    </row>
    <row r="14" spans="3:10">
      <c r="C14" s="3"/>
      <c r="D14" s="3"/>
      <c r="E14" s="3"/>
      <c r="F14" s="3"/>
      <c r="G14" s="3">
        <f t="shared" si="3"/>
        <v>-0.0182</v>
      </c>
      <c r="H14" s="3">
        <f t="shared" si="4"/>
        <v>-0.195069667738478</v>
      </c>
      <c r="I14" s="3">
        <f>SUMPRODUCT(ABS(H12:H15))/COUNT(H12:H15)</f>
        <v>0.0922907065770838</v>
      </c>
      <c r="J14" s="3"/>
    </row>
    <row r="15" spans="3:10">
      <c r="C15" s="3"/>
      <c r="D15" s="3"/>
      <c r="E15" s="3"/>
      <c r="F15" s="3"/>
      <c r="G15" s="3">
        <f t="shared" si="3"/>
        <v>-0.0015</v>
      </c>
      <c r="H15" s="3">
        <f t="shared" si="4"/>
        <v>-0.00557413600891862</v>
      </c>
      <c r="I15" s="3"/>
      <c r="J15" s="3"/>
    </row>
    <row r="16" spans="7:8">
      <c r="G16" s="2"/>
      <c r="H16">
        <f>AVERAGE(H12:H15)</f>
        <v>-0.0922907065770839</v>
      </c>
    </row>
    <row r="17" spans="1:13">
      <c r="A17" s="8" t="s">
        <v>65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9">
      <c r="A18" s="5" t="s">
        <v>1</v>
      </c>
      <c r="B18" s="5" t="s">
        <v>66</v>
      </c>
      <c r="C18" s="5"/>
      <c r="D18" s="5" t="s">
        <v>40</v>
      </c>
      <c r="E18" s="5"/>
      <c r="F18" s="5"/>
      <c r="G18" s="5"/>
      <c r="H18" s="5"/>
      <c r="I18" s="5"/>
    </row>
    <row r="19" spans="1:9">
      <c r="A19" s="5" t="s">
        <v>4</v>
      </c>
      <c r="B19" s="5" t="s">
        <v>67</v>
      </c>
      <c r="C19" s="5"/>
      <c r="D19" s="5"/>
      <c r="E19" s="5"/>
      <c r="F19" s="5"/>
      <c r="G19" s="5"/>
      <c r="H19" s="5"/>
      <c r="I19" s="5"/>
    </row>
    <row r="21" spans="1:10">
      <c r="A21" s="3" t="s">
        <v>6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68</v>
      </c>
      <c r="G21" s="3" t="s">
        <v>69</v>
      </c>
      <c r="H21" s="3" t="s">
        <v>70</v>
      </c>
      <c r="I21" s="3" t="s">
        <v>71</v>
      </c>
      <c r="J21" s="3" t="s">
        <v>72</v>
      </c>
    </row>
    <row r="22" spans="1:10">
      <c r="A22" s="3" t="s">
        <v>17</v>
      </c>
      <c r="B22" s="3">
        <v>0.485</v>
      </c>
      <c r="C22" s="3">
        <v>0.0337</v>
      </c>
      <c r="D22" s="3">
        <v>0.0931</v>
      </c>
      <c r="E22" s="4">
        <v>0.0591</v>
      </c>
      <c r="F22" s="5">
        <v>0.0651</v>
      </c>
      <c r="G22" s="3">
        <f>F22-E22</f>
        <v>0.00600000000000001</v>
      </c>
      <c r="H22" s="3">
        <f>G22/F22</f>
        <v>0.0921658986175116</v>
      </c>
      <c r="I22" s="6">
        <f>SQRT(SUMSQ(G22:G25)/COUNTA(G22:G25))</f>
        <v>0.00309232921921325</v>
      </c>
      <c r="J22" s="3">
        <f>CORREL(E22:E25,F22:F25)</f>
        <v>0.998788751986674</v>
      </c>
    </row>
    <row r="23" spans="1:10">
      <c r="A23" s="3" t="s">
        <v>18</v>
      </c>
      <c r="B23" s="3">
        <v>0.555</v>
      </c>
      <c r="C23" s="3">
        <v>0.0221</v>
      </c>
      <c r="D23" s="3">
        <v>0.11</v>
      </c>
      <c r="E23" s="4">
        <v>0.0917</v>
      </c>
      <c r="F23" s="5">
        <v>0.0906</v>
      </c>
      <c r="G23" s="3">
        <f t="shared" ref="G22:G25" si="5">F23-E23</f>
        <v>-0.0011</v>
      </c>
      <c r="H23" s="3">
        <f t="shared" ref="H22:H25" si="6">G23/F23</f>
        <v>-0.0121412803532009</v>
      </c>
      <c r="I23" s="3" t="s">
        <v>19</v>
      </c>
      <c r="J23" s="3"/>
    </row>
    <row r="24" spans="1:10">
      <c r="A24" s="3" t="s">
        <v>20</v>
      </c>
      <c r="B24" s="3">
        <v>0.66</v>
      </c>
      <c r="C24" s="3">
        <v>0.0209</v>
      </c>
      <c r="D24" s="3">
        <v>0.1327</v>
      </c>
      <c r="E24" s="4">
        <v>0.1363</v>
      </c>
      <c r="F24" s="5">
        <v>0.1353</v>
      </c>
      <c r="G24" s="3">
        <f t="shared" si="5"/>
        <v>-0.001</v>
      </c>
      <c r="H24" s="3">
        <f t="shared" si="6"/>
        <v>-0.0073909830007391</v>
      </c>
      <c r="I24" s="6">
        <f>SUMPRODUCT(ABS(H22:H25))/COUNT(H22:H25)</f>
        <v>0.0281836078503759</v>
      </c>
      <c r="J24" s="3"/>
    </row>
    <row r="25" spans="1:10">
      <c r="A25" s="3" t="s">
        <v>21</v>
      </c>
      <c r="B25" s="3">
        <v>0.83</v>
      </c>
      <c r="C25" s="3">
        <v>0.0162</v>
      </c>
      <c r="D25" s="3">
        <v>0.1699</v>
      </c>
      <c r="E25" s="4">
        <v>0.1928</v>
      </c>
      <c r="F25" s="2">
        <v>0.193</v>
      </c>
      <c r="G25" s="3">
        <f t="shared" si="5"/>
        <v>0.000200000000000006</v>
      </c>
      <c r="H25" s="3">
        <f t="shared" si="6"/>
        <v>0.00103626943005184</v>
      </c>
      <c r="I25" s="3"/>
      <c r="J25" s="3"/>
    </row>
    <row r="26" spans="1:10">
      <c r="A26" s="3"/>
      <c r="B26" s="3"/>
      <c r="E26" s="3"/>
      <c r="F26" s="3"/>
      <c r="G26" s="3"/>
      <c r="H26" s="3"/>
      <c r="I26" s="3"/>
      <c r="J26" s="3"/>
    </row>
    <row r="27" spans="1:10">
      <c r="A27" s="3"/>
      <c r="B27" s="3"/>
      <c r="C27" s="3" t="s">
        <v>22</v>
      </c>
      <c r="D27" s="3" t="s">
        <v>23</v>
      </c>
      <c r="E27" s="3" t="s">
        <v>24</v>
      </c>
      <c r="F27" s="3" t="s">
        <v>25</v>
      </c>
      <c r="G27" s="3" t="s">
        <v>26</v>
      </c>
      <c r="H27" t="s">
        <v>27</v>
      </c>
      <c r="I27" s="3" t="s">
        <v>28</v>
      </c>
      <c r="J27" s="3" t="s">
        <v>29</v>
      </c>
    </row>
    <row r="28" spans="3:10">
      <c r="C28" s="3">
        <f t="shared" ref="C28:F28" si="7">(C25-C24)/(C25+C24)</f>
        <v>-0.126684636118598</v>
      </c>
      <c r="D28" s="3">
        <f t="shared" si="7"/>
        <v>0.122934567085261</v>
      </c>
      <c r="E28" s="3">
        <f t="shared" si="7"/>
        <v>0.171680340322091</v>
      </c>
      <c r="F28" s="3">
        <f t="shared" si="7"/>
        <v>0.175753883643009</v>
      </c>
      <c r="G28" s="3">
        <f t="shared" ref="G28:G31" si="8">D22-F22</f>
        <v>0.028</v>
      </c>
      <c r="H28" s="3">
        <f t="shared" ref="H28:H31" si="9">G28/F22</f>
        <v>0.43010752688172</v>
      </c>
      <c r="I28" s="3">
        <f>SQRT(SUMSQ(G28:G31)/COUNTA(G28:G31))</f>
        <v>0.0206199539281736</v>
      </c>
      <c r="J28" s="3">
        <f>CORREL(D22:D25,F22:F25)</f>
        <v>0.998783940510521</v>
      </c>
    </row>
    <row r="29" spans="3:10">
      <c r="C29" s="3"/>
      <c r="D29" s="3"/>
      <c r="E29" s="3"/>
      <c r="F29" s="3"/>
      <c r="G29" s="3">
        <f t="shared" si="8"/>
        <v>0.0194</v>
      </c>
      <c r="H29" s="3">
        <f t="shared" si="9"/>
        <v>0.214128035320088</v>
      </c>
      <c r="I29" s="3" t="s">
        <v>30</v>
      </c>
      <c r="J29" s="3"/>
    </row>
    <row r="30" spans="3:10">
      <c r="C30" s="3"/>
      <c r="D30" s="3"/>
      <c r="E30" s="3"/>
      <c r="F30" s="3"/>
      <c r="G30" s="3">
        <f t="shared" si="8"/>
        <v>-0.00259999999999999</v>
      </c>
      <c r="H30" s="3">
        <f t="shared" si="9"/>
        <v>-0.0192165558019216</v>
      </c>
      <c r="I30" s="3">
        <f>SUMPRODUCT(ABS(H28:H31))/COUNT(H28:H31)</f>
        <v>0.195785309293679</v>
      </c>
      <c r="J30" s="3"/>
    </row>
    <row r="31" spans="3:10">
      <c r="C31" s="3"/>
      <c r="D31" s="3"/>
      <c r="E31" s="3"/>
      <c r="F31" s="3"/>
      <c r="G31" s="3">
        <f t="shared" si="8"/>
        <v>-0.0231</v>
      </c>
      <c r="H31" s="3">
        <f t="shared" si="9"/>
        <v>-0.119689119170985</v>
      </c>
      <c r="I31" s="3"/>
      <c r="J31" s="3"/>
    </row>
    <row r="33" spans="1:12">
      <c r="A33" s="1" t="s">
        <v>73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2" t="s">
        <v>1</v>
      </c>
      <c r="B34" s="2" t="s">
        <v>39</v>
      </c>
      <c r="C34" s="2"/>
      <c r="D34" s="2" t="s">
        <v>3</v>
      </c>
      <c r="E34" s="2"/>
      <c r="F34" s="2"/>
      <c r="G34" s="2"/>
      <c r="H34" s="2"/>
      <c r="I34" s="2"/>
      <c r="J34" s="2"/>
      <c r="K34" s="2"/>
      <c r="L34" s="2"/>
    </row>
    <row r="35" spans="1:12">
      <c r="A35" s="2" t="s">
        <v>4</v>
      </c>
      <c r="B35" s="2" t="s">
        <v>64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7" spans="1:10">
      <c r="A37" s="3" t="s">
        <v>6</v>
      </c>
      <c r="B37" s="3" t="s">
        <v>7</v>
      </c>
      <c r="C37" s="3" t="s">
        <v>8</v>
      </c>
      <c r="D37" s="3" t="s">
        <v>9</v>
      </c>
      <c r="E37" s="3" t="s">
        <v>10</v>
      </c>
      <c r="F37" s="3" t="s">
        <v>68</v>
      </c>
      <c r="G37" s="3" t="s">
        <v>12</v>
      </c>
      <c r="H37" s="3" t="s">
        <v>13</v>
      </c>
      <c r="I37" s="3" t="s">
        <v>14</v>
      </c>
      <c r="J37" s="3" t="s">
        <v>15</v>
      </c>
    </row>
    <row r="38" spans="1:10">
      <c r="A38" s="3" t="s">
        <v>17</v>
      </c>
      <c r="B38" s="3">
        <v>0.485</v>
      </c>
      <c r="C38" s="3">
        <v>0.0275</v>
      </c>
      <c r="D38" s="3">
        <v>0.055</v>
      </c>
      <c r="E38" s="4">
        <v>0.0498</v>
      </c>
      <c r="F38" s="5">
        <v>0.0459</v>
      </c>
      <c r="G38" s="3">
        <f t="shared" ref="G38:G41" si="10">F38-E38</f>
        <v>-0.00389999999999999</v>
      </c>
      <c r="H38" s="3">
        <f t="shared" ref="H38:H41" si="11">G38/F38</f>
        <v>-0.0849673202614378</v>
      </c>
      <c r="I38" s="6">
        <f>SQRT(SUMSQ(G38:G41)/COUNTA(G38:G41))</f>
        <v>0.0107634799205461</v>
      </c>
      <c r="J38" s="3">
        <f>CORREL(E38:E41,F38:F41)</f>
        <v>0.999339190037422</v>
      </c>
    </row>
    <row r="39" spans="1:10">
      <c r="A39" s="3" t="s">
        <v>18</v>
      </c>
      <c r="B39" s="3">
        <v>0.555</v>
      </c>
      <c r="C39" s="3">
        <v>0.024</v>
      </c>
      <c r="D39" s="3">
        <v>0.09</v>
      </c>
      <c r="E39" s="4">
        <v>0.0756</v>
      </c>
      <c r="F39" s="5">
        <v>0.0688</v>
      </c>
      <c r="G39" s="3">
        <f t="shared" si="10"/>
        <v>-0.0068</v>
      </c>
      <c r="H39" s="3">
        <f t="shared" si="11"/>
        <v>-0.0988372093023256</v>
      </c>
      <c r="I39" s="3" t="s">
        <v>19</v>
      </c>
      <c r="J39" s="3"/>
    </row>
    <row r="40" spans="1:10">
      <c r="A40" s="3" t="s">
        <v>20</v>
      </c>
      <c r="B40" s="3">
        <v>0.66</v>
      </c>
      <c r="C40" s="3">
        <v>0.0167</v>
      </c>
      <c r="D40" s="3">
        <v>0.0888</v>
      </c>
      <c r="E40" s="4">
        <v>0.0843</v>
      </c>
      <c r="F40" s="5">
        <v>0.0829</v>
      </c>
      <c r="G40" s="3">
        <f t="shared" si="10"/>
        <v>-0.0014</v>
      </c>
      <c r="H40" s="3">
        <f t="shared" si="11"/>
        <v>-0.0168878166465621</v>
      </c>
      <c r="I40" s="6">
        <f>SUMPRODUCT(ABS(H38:H41))/COUNT(H38:H41)</f>
        <v>0.0731193921973725</v>
      </c>
      <c r="J40" s="3"/>
    </row>
    <row r="41" spans="1:10">
      <c r="A41" s="3" t="s">
        <v>21</v>
      </c>
      <c r="B41" s="3">
        <v>0.83</v>
      </c>
      <c r="C41" s="3">
        <v>0.0408</v>
      </c>
      <c r="D41" s="3">
        <v>0.2676</v>
      </c>
      <c r="E41" s="4">
        <v>0.2379</v>
      </c>
      <c r="F41" s="2">
        <v>0.2179</v>
      </c>
      <c r="G41" s="3">
        <f t="shared" si="10"/>
        <v>-0.02</v>
      </c>
      <c r="H41" s="3">
        <f t="shared" si="11"/>
        <v>-0.0917852225791647</v>
      </c>
      <c r="I41" s="3"/>
      <c r="J41" s="3"/>
    </row>
    <row r="42" spans="1:10">
      <c r="A42" s="3"/>
      <c r="B42" s="3"/>
      <c r="E42" s="3"/>
      <c r="F42" s="3"/>
      <c r="G42" s="3"/>
      <c r="H42" s="3"/>
      <c r="I42" s="3"/>
      <c r="J42" s="3"/>
    </row>
    <row r="43" spans="1:10">
      <c r="A43" s="3"/>
      <c r="B43" s="3"/>
      <c r="C43" s="3" t="s">
        <v>22</v>
      </c>
      <c r="D43" s="3" t="s">
        <v>23</v>
      </c>
      <c r="E43" s="3" t="s">
        <v>24</v>
      </c>
      <c r="F43" s="3" t="s">
        <v>25</v>
      </c>
      <c r="G43" s="3" t="s">
        <v>26</v>
      </c>
      <c r="H43" t="s">
        <v>27</v>
      </c>
      <c r="I43" s="3" t="s">
        <v>28</v>
      </c>
      <c r="J43" s="3" t="s">
        <v>29</v>
      </c>
    </row>
    <row r="44" spans="3:10">
      <c r="C44" s="3">
        <f t="shared" ref="C44:F44" si="12">(C41-C40)/(C41+C40)</f>
        <v>0.419130434782609</v>
      </c>
      <c r="D44" s="3">
        <f t="shared" si="12"/>
        <v>0.501683501683502</v>
      </c>
      <c r="E44" s="3">
        <f t="shared" si="12"/>
        <v>0.476722532588454</v>
      </c>
      <c r="F44" s="3">
        <f t="shared" si="12"/>
        <v>0.448803191489362</v>
      </c>
      <c r="G44" s="3">
        <f t="shared" ref="G44:G47" si="13">D38-F38</f>
        <v>0.0091</v>
      </c>
      <c r="H44" s="3">
        <f t="shared" ref="H44:H47" si="14">G44/F38</f>
        <v>0.198257080610022</v>
      </c>
      <c r="I44" s="3">
        <f>SQRT(SUMSQ(G44:G47)/COUNTA(G44:G47))</f>
        <v>0.0275551719283332</v>
      </c>
      <c r="J44" s="3">
        <f>CORREL(D38:D41,F38:F41)</f>
        <v>0.996747378802624</v>
      </c>
    </row>
    <row r="45" spans="3:10">
      <c r="C45" s="3"/>
      <c r="D45" s="3"/>
      <c r="E45" s="3"/>
      <c r="F45" s="3"/>
      <c r="G45" s="3">
        <f t="shared" si="13"/>
        <v>0.0212</v>
      </c>
      <c r="H45" s="3">
        <f t="shared" si="14"/>
        <v>0.308139534883721</v>
      </c>
      <c r="I45" s="3" t="s">
        <v>30</v>
      </c>
      <c r="J45" s="3"/>
    </row>
    <row r="46" spans="3:10">
      <c r="C46" s="3"/>
      <c r="D46" s="3"/>
      <c r="E46" s="3"/>
      <c r="F46" s="3"/>
      <c r="G46" s="3">
        <f t="shared" si="13"/>
        <v>0.0059</v>
      </c>
      <c r="H46" s="3">
        <f t="shared" si="14"/>
        <v>0.0711700844390833</v>
      </c>
      <c r="I46" s="3">
        <f>SUMPRODUCT(ABS(H44:H47))/COUNT(H44:H47)</f>
        <v>0.201413244510513</v>
      </c>
      <c r="J46" s="3"/>
    </row>
    <row r="47" spans="3:10">
      <c r="C47" s="3"/>
      <c r="D47" s="3"/>
      <c r="E47" s="3"/>
      <c r="F47" s="3"/>
      <c r="G47" s="3">
        <f t="shared" si="13"/>
        <v>0.0497</v>
      </c>
      <c r="H47" s="3">
        <f t="shared" si="14"/>
        <v>0.228086278109224</v>
      </c>
      <c r="I47" s="3"/>
      <c r="J47" s="3"/>
    </row>
  </sheetData>
  <mergeCells count="7">
    <mergeCell ref="A1:L1"/>
    <mergeCell ref="B2:C2"/>
    <mergeCell ref="B3:C3"/>
    <mergeCell ref="A17:M17"/>
    <mergeCell ref="B18:C18"/>
    <mergeCell ref="A33:L33"/>
    <mergeCell ref="B35:C3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I12" sqref="I12"/>
    </sheetView>
  </sheetViews>
  <sheetFormatPr defaultColWidth="8.88888888888889" defaultRowHeight="14.4"/>
  <cols>
    <col min="3" max="3" width="18.3333333333333" customWidth="1"/>
    <col min="5" max="5" width="12.2222222222222" customWidth="1"/>
    <col min="6" max="6" width="21.7777777777778" customWidth="1"/>
    <col min="7" max="7" width="17.7777777777778" customWidth="1"/>
    <col min="8" max="8" width="21" customWidth="1"/>
    <col min="9" max="9" width="24.1111111111111" customWidth="1"/>
    <col min="10" max="10" width="15.4444444444444" customWidth="1"/>
  </cols>
  <sheetData>
    <row r="1" spans="1:13">
      <c r="A1" s="8" t="s">
        <v>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9">
      <c r="A2" s="5" t="s">
        <v>1</v>
      </c>
      <c r="B2" s="5" t="s">
        <v>66</v>
      </c>
      <c r="C2" s="5"/>
      <c r="D2" s="5" t="s">
        <v>40</v>
      </c>
      <c r="E2" s="5"/>
      <c r="F2" s="5"/>
      <c r="G2" s="5"/>
      <c r="H2" s="5"/>
      <c r="I2" s="5"/>
    </row>
    <row r="3" spans="1:9">
      <c r="A3" s="5" t="s">
        <v>4</v>
      </c>
      <c r="B3" s="5" t="s">
        <v>47</v>
      </c>
      <c r="C3" s="5"/>
      <c r="D3" s="5"/>
      <c r="E3" s="5"/>
      <c r="F3" s="5"/>
      <c r="G3" s="5"/>
      <c r="H3" s="5"/>
      <c r="I3" s="5"/>
    </row>
    <row r="5" spans="1:10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>
      <c r="A6" s="3" t="s">
        <v>17</v>
      </c>
      <c r="B6" s="3">
        <v>0.485</v>
      </c>
      <c r="C6" s="3">
        <v>0.0324</v>
      </c>
      <c r="D6" s="3">
        <v>0.0299</v>
      </c>
      <c r="E6" s="4">
        <v>0.0227</v>
      </c>
      <c r="F6" s="5">
        <v>0.0314</v>
      </c>
      <c r="G6" s="3">
        <f t="shared" ref="G6:G9" si="0">F6-E6</f>
        <v>0.0087</v>
      </c>
      <c r="H6" s="3">
        <f t="shared" ref="H6:H9" si="1">G6/F6</f>
        <v>0.277070063694267</v>
      </c>
      <c r="I6" s="6">
        <f>SQRT(SUMSQ(G6:G9)/COUNTA(G6:G9))</f>
        <v>0.0354730531530626</v>
      </c>
      <c r="J6" s="3">
        <f>CORREL(E6:E9,F6:F9)</f>
        <v>0.999401972781825</v>
      </c>
    </row>
    <row r="7" spans="1:10">
      <c r="A7" s="3" t="s">
        <v>18</v>
      </c>
      <c r="B7" s="3">
        <v>0.555</v>
      </c>
      <c r="C7" s="3">
        <v>0.0254</v>
      </c>
      <c r="D7" s="3">
        <v>0.0667</v>
      </c>
      <c r="E7" s="4">
        <v>0.0547</v>
      </c>
      <c r="F7" s="5">
        <v>0.0553</v>
      </c>
      <c r="G7" s="3">
        <f t="shared" si="0"/>
        <v>0.000600000000000003</v>
      </c>
      <c r="H7" s="3">
        <f t="shared" si="1"/>
        <v>0.0108499095840869</v>
      </c>
      <c r="I7" s="3" t="s">
        <v>19</v>
      </c>
      <c r="J7" s="3"/>
    </row>
    <row r="8" spans="1:10">
      <c r="A8" s="3" t="s">
        <v>20</v>
      </c>
      <c r="B8" s="3">
        <v>0.66</v>
      </c>
      <c r="C8" s="3">
        <v>0.0169</v>
      </c>
      <c r="D8" s="3">
        <v>0.0539</v>
      </c>
      <c r="E8" s="4">
        <v>0.0501</v>
      </c>
      <c r="F8" s="5">
        <v>0.0462</v>
      </c>
      <c r="G8" s="3">
        <f t="shared" si="0"/>
        <v>-0.0039</v>
      </c>
      <c r="H8" s="3">
        <f t="shared" si="1"/>
        <v>-0.0844155844155844</v>
      </c>
      <c r="I8" s="6">
        <f>SUMPRODUCT(ABS(H6:H9))/COUNT(H6:H9)</f>
        <v>0.187522363362227</v>
      </c>
      <c r="J8" s="3"/>
    </row>
    <row r="9" spans="1:10">
      <c r="A9" s="3" t="s">
        <v>21</v>
      </c>
      <c r="B9" s="3">
        <v>0.83</v>
      </c>
      <c r="C9" s="3">
        <v>0.0389</v>
      </c>
      <c r="D9" s="3">
        <v>0.2631</v>
      </c>
      <c r="E9" s="4">
        <v>0.2564</v>
      </c>
      <c r="F9" s="5">
        <v>0.1861</v>
      </c>
      <c r="G9" s="3">
        <f t="shared" si="0"/>
        <v>-0.0703</v>
      </c>
      <c r="H9" s="3">
        <f t="shared" si="1"/>
        <v>-0.377753895754971</v>
      </c>
      <c r="I9" s="3"/>
      <c r="J9" s="3"/>
    </row>
    <row r="10" spans="1:10">
      <c r="A10" s="3"/>
      <c r="B10" s="3"/>
      <c r="E10" s="3"/>
      <c r="F10" s="3"/>
      <c r="G10" s="3"/>
      <c r="H10" s="3"/>
      <c r="I10" s="3"/>
      <c r="J10" s="3"/>
    </row>
    <row r="11" spans="1:10">
      <c r="A11" s="3"/>
      <c r="B11" s="3"/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t="s">
        <v>27</v>
      </c>
      <c r="I11" s="3" t="s">
        <v>28</v>
      </c>
      <c r="J11" s="3" t="s">
        <v>29</v>
      </c>
    </row>
    <row r="12" spans="3:10">
      <c r="C12" s="3">
        <f t="shared" ref="C12:F12" si="2">(C9-C8)/(C9+C8)</f>
        <v>0.39426523297491</v>
      </c>
      <c r="D12" s="3">
        <f t="shared" si="2"/>
        <v>0.65993690851735</v>
      </c>
      <c r="E12" s="3">
        <f t="shared" si="2"/>
        <v>0.673083197389886</v>
      </c>
      <c r="F12" s="3">
        <f t="shared" si="2"/>
        <v>0.602238484718037</v>
      </c>
      <c r="G12" s="3">
        <f t="shared" ref="G12:G15" si="3">D6-F6</f>
        <v>-0.0015</v>
      </c>
      <c r="H12" s="3">
        <f t="shared" ref="H12:H15" si="4">G12/F6</f>
        <v>-0.0477707006369426</v>
      </c>
      <c r="I12" s="3">
        <f>SQRT(SUMSQ(G12:G15)/COUNTA(G12:G15))</f>
        <v>0.0391168122423083</v>
      </c>
      <c r="J12" s="3">
        <f>CORREL(D6:D9,F6:F9)</f>
        <v>0.999977449524744</v>
      </c>
    </row>
    <row r="13" spans="3:10">
      <c r="C13" s="3"/>
      <c r="D13" s="3"/>
      <c r="E13" s="3"/>
      <c r="F13" s="3"/>
      <c r="G13" s="3">
        <f t="shared" si="3"/>
        <v>0.0114</v>
      </c>
      <c r="H13" s="3">
        <f t="shared" si="4"/>
        <v>0.206148282097649</v>
      </c>
      <c r="I13" s="3" t="s">
        <v>30</v>
      </c>
      <c r="J13" s="3"/>
    </row>
    <row r="14" spans="3:10">
      <c r="C14" s="3"/>
      <c r="D14" s="3"/>
      <c r="E14" s="3"/>
      <c r="F14" s="3"/>
      <c r="G14" s="3">
        <f t="shared" si="3"/>
        <v>0.00770000000000001</v>
      </c>
      <c r="H14" s="3">
        <f t="shared" si="4"/>
        <v>0.166666666666667</v>
      </c>
      <c r="I14" s="3">
        <f>SUMPRODUCT(ABS(H12:H15))/COUNT(H12:H15)</f>
        <v>0.20858542363457</v>
      </c>
      <c r="J14" s="3"/>
    </row>
    <row r="15" spans="3:10">
      <c r="C15" s="3"/>
      <c r="D15" s="3"/>
      <c r="E15" s="3"/>
      <c r="F15" s="3"/>
      <c r="G15" s="3">
        <f t="shared" si="3"/>
        <v>0.077</v>
      </c>
      <c r="H15" s="3">
        <f t="shared" si="4"/>
        <v>0.413756045137023</v>
      </c>
      <c r="I15" s="3"/>
      <c r="J15" s="3"/>
    </row>
  </sheetData>
  <mergeCells count="2">
    <mergeCell ref="A1:M1"/>
    <mergeCell ref="B2:C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zoomScale="80" zoomScaleNormal="80" topLeftCell="A5" workbookViewId="0">
      <selection activeCell="L36" sqref="L36"/>
    </sheetView>
  </sheetViews>
  <sheetFormatPr defaultColWidth="8.88888888888889" defaultRowHeight="14.4"/>
  <cols>
    <col min="2" max="2" width="23.7777777777778" customWidth="1"/>
    <col min="4" max="4" width="11.4444444444444" customWidth="1"/>
    <col min="5" max="5" width="11.8888888888889" customWidth="1"/>
    <col min="6" max="6" width="21.3333333333333" customWidth="1"/>
    <col min="7" max="7" width="13.3333333333333" customWidth="1"/>
    <col min="8" max="8" width="18.5555555555556" customWidth="1"/>
    <col min="9" max="9" width="25.8888888888889" customWidth="1"/>
    <col min="10" max="10" width="16.2222222222222" customWidth="1"/>
  </cols>
  <sheetData>
    <row r="1" spans="1:12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 t="s">
        <v>76</v>
      </c>
      <c r="C2" s="2"/>
      <c r="D2" s="2" t="s">
        <v>77</v>
      </c>
      <c r="E2" s="2"/>
      <c r="F2" s="2"/>
      <c r="G2" s="2"/>
      <c r="H2" s="2"/>
      <c r="I2" s="2"/>
      <c r="J2" s="2"/>
      <c r="K2" s="2"/>
      <c r="L2" s="2"/>
    </row>
    <row r="3" spans="1:12">
      <c r="A3" s="2" t="s">
        <v>4</v>
      </c>
      <c r="B3" s="2" t="s">
        <v>47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0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>
      <c r="A6" s="3" t="s">
        <v>17</v>
      </c>
      <c r="B6" s="3">
        <v>0.485</v>
      </c>
      <c r="C6" s="3">
        <v>0.0307</v>
      </c>
      <c r="D6" s="3">
        <v>0.0574</v>
      </c>
      <c r="E6" s="4">
        <v>0.0696</v>
      </c>
      <c r="F6" s="5">
        <v>0.0798</v>
      </c>
      <c r="G6" s="3">
        <f t="shared" ref="G6:G9" si="0">F6-E6</f>
        <v>0.0102</v>
      </c>
      <c r="H6" s="3">
        <f t="shared" ref="H6:H9" si="1">G6/F6</f>
        <v>0.12781954887218</v>
      </c>
      <c r="I6" s="6">
        <f>SQRT(SUMSQ(G6:G9)/COUNTA(G6:G9))</f>
        <v>0.030897775000799</v>
      </c>
      <c r="J6" s="3">
        <f>CORREL(E6:E9,F6:F9)</f>
        <v>0.988571630665663</v>
      </c>
    </row>
    <row r="7" spans="1:10">
      <c r="A7" s="3" t="s">
        <v>18</v>
      </c>
      <c r="B7" s="3">
        <v>0.555</v>
      </c>
      <c r="C7" s="3">
        <v>0.0252</v>
      </c>
      <c r="D7" s="3">
        <v>0.0943</v>
      </c>
      <c r="E7" s="4">
        <v>0.1285</v>
      </c>
      <c r="F7" s="2">
        <v>0.124</v>
      </c>
      <c r="G7" s="3">
        <f t="shared" si="0"/>
        <v>-0.0045</v>
      </c>
      <c r="H7" s="3">
        <f t="shared" si="1"/>
        <v>-0.0362903225806452</v>
      </c>
      <c r="I7" s="3" t="s">
        <v>19</v>
      </c>
      <c r="J7" s="3"/>
    </row>
    <row r="8" spans="1:10">
      <c r="A8" s="3" t="s">
        <v>20</v>
      </c>
      <c r="B8" s="3">
        <v>0.66</v>
      </c>
      <c r="C8" s="3">
        <v>0.016</v>
      </c>
      <c r="D8" s="3">
        <v>0.0683</v>
      </c>
      <c r="E8" s="4">
        <v>0.0895</v>
      </c>
      <c r="F8" s="5">
        <v>0.1499</v>
      </c>
      <c r="G8" s="3">
        <f t="shared" si="0"/>
        <v>0.0604</v>
      </c>
      <c r="H8" s="3">
        <f t="shared" si="1"/>
        <v>0.402935290193462</v>
      </c>
      <c r="I8" s="6">
        <f>SUMPRODUCT(ABS(H6:H9))/COUNT(H6:H9)</f>
        <v>0.145328971418917</v>
      </c>
      <c r="J8" s="3"/>
    </row>
    <row r="9" spans="1:10">
      <c r="A9" s="3" t="s">
        <v>21</v>
      </c>
      <c r="B9" s="3">
        <v>0.83</v>
      </c>
      <c r="C9" s="3">
        <v>0.0491</v>
      </c>
      <c r="D9" s="3">
        <v>0.4691</v>
      </c>
      <c r="E9" s="4">
        <v>0.4697</v>
      </c>
      <c r="F9" s="5">
        <v>0.4765</v>
      </c>
      <c r="G9" s="3">
        <f t="shared" si="0"/>
        <v>0.00679999999999997</v>
      </c>
      <c r="H9" s="3">
        <f t="shared" si="1"/>
        <v>0.0142707240293808</v>
      </c>
      <c r="I9" s="3"/>
      <c r="J9" s="3"/>
    </row>
    <row r="10" spans="1:10">
      <c r="A10" s="3"/>
      <c r="B10" s="3"/>
      <c r="E10" s="3"/>
      <c r="F10" s="3"/>
      <c r="G10" s="3"/>
      <c r="H10" s="3"/>
      <c r="I10" s="3"/>
      <c r="J10" s="3"/>
    </row>
    <row r="11" spans="1:10">
      <c r="A11" s="3"/>
      <c r="B11" s="3"/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t="s">
        <v>27</v>
      </c>
      <c r="I11" s="3" t="s">
        <v>28</v>
      </c>
      <c r="J11" s="3" t="s">
        <v>29</v>
      </c>
    </row>
    <row r="12" spans="3:10">
      <c r="C12" s="3">
        <f t="shared" ref="C12:F12" si="2">(C9-C8)/(C9+C8)</f>
        <v>0.508448540706605</v>
      </c>
      <c r="D12" s="3">
        <f t="shared" si="2"/>
        <v>0.745813174544101</v>
      </c>
      <c r="E12" s="3">
        <f t="shared" si="2"/>
        <v>0.679899856938483</v>
      </c>
      <c r="F12" s="3">
        <f t="shared" si="2"/>
        <v>0.521392081736909</v>
      </c>
      <c r="G12" s="3">
        <f>D6-F6</f>
        <v>-0.0224</v>
      </c>
      <c r="H12" s="3">
        <f t="shared" ref="H12:H15" si="3">G12/F6</f>
        <v>-0.280701754385965</v>
      </c>
      <c r="I12" s="3">
        <f>SQRT(SUMSQ(G12:G15)/COUNTA(G12:G15))</f>
        <v>0.0449921382021348</v>
      </c>
      <c r="J12" s="3">
        <f>CORREL(D6:D9,F6:F9)</f>
        <v>0.989521941771668</v>
      </c>
    </row>
    <row r="13" spans="3:10">
      <c r="C13" s="3"/>
      <c r="D13" s="3"/>
      <c r="E13" s="3"/>
      <c r="F13" s="3"/>
      <c r="G13" s="3">
        <f t="shared" ref="G12:G15" si="4">D7-F7</f>
        <v>-0.0297</v>
      </c>
      <c r="H13" s="3">
        <f t="shared" si="3"/>
        <v>-0.239516129032258</v>
      </c>
      <c r="I13" s="3" t="s">
        <v>30</v>
      </c>
      <c r="J13" s="3"/>
    </row>
    <row r="14" spans="3:10">
      <c r="C14" s="3"/>
      <c r="D14" s="3"/>
      <c r="E14" s="3"/>
      <c r="F14" s="3"/>
      <c r="G14" s="3">
        <f t="shared" si="4"/>
        <v>-0.0816</v>
      </c>
      <c r="H14" s="3">
        <f t="shared" si="3"/>
        <v>-0.544362908605737</v>
      </c>
      <c r="I14" s="3">
        <f>SUMPRODUCT(ABS(H12:H15))/COUNT(H12:H15)</f>
        <v>0.270027674396336</v>
      </c>
      <c r="J14" s="3"/>
    </row>
    <row r="15" spans="3:10">
      <c r="C15" s="3"/>
      <c r="D15" s="3"/>
      <c r="E15" s="3"/>
      <c r="F15" s="3"/>
      <c r="G15" s="3">
        <f t="shared" si="4"/>
        <v>-0.00739999999999996</v>
      </c>
      <c r="H15" s="3">
        <f t="shared" si="3"/>
        <v>-0.015529905561385</v>
      </c>
      <c r="I15" s="3"/>
      <c r="J15" s="3"/>
    </row>
    <row r="17" spans="1:4">
      <c r="A17" s="2" t="s">
        <v>1</v>
      </c>
      <c r="B17" s="2" t="s">
        <v>78</v>
      </c>
      <c r="C17" s="2"/>
      <c r="D17" s="2" t="s">
        <v>32</v>
      </c>
    </row>
    <row r="18" spans="1:4">
      <c r="A18" s="2" t="s">
        <v>4</v>
      </c>
      <c r="B18" s="2" t="s">
        <v>79</v>
      </c>
      <c r="C18" s="2"/>
      <c r="D18" s="2"/>
    </row>
    <row r="20" spans="1:10">
      <c r="A20" s="3" t="s">
        <v>6</v>
      </c>
      <c r="B20" s="3" t="s">
        <v>7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12</v>
      </c>
      <c r="H20" s="3" t="s">
        <v>13</v>
      </c>
      <c r="I20" s="3" t="s">
        <v>14</v>
      </c>
      <c r="J20" s="3" t="s">
        <v>15</v>
      </c>
    </row>
    <row r="21" spans="1:10">
      <c r="A21" s="3" t="s">
        <v>17</v>
      </c>
      <c r="B21" s="3">
        <v>0.485</v>
      </c>
      <c r="C21" s="3">
        <v>0.0425</v>
      </c>
      <c r="D21" s="3">
        <v>0.1236</v>
      </c>
      <c r="E21" s="4">
        <v>0.1211</v>
      </c>
      <c r="F21" s="5">
        <v>0.1538</v>
      </c>
      <c r="G21" s="3">
        <f t="shared" ref="G21:G24" si="5">F21-E21</f>
        <v>0.0327</v>
      </c>
      <c r="H21" s="3">
        <f t="shared" ref="H21:H24" si="6">G21/F21</f>
        <v>0.212613784135241</v>
      </c>
      <c r="I21" s="6">
        <f>SQRT(SUMSQ(G21:G24)/COUNTA(G21:G24))</f>
        <v>0.0475662432823951</v>
      </c>
      <c r="J21" s="3">
        <f>CORREL(E21:E24,F21:F24)</f>
        <v>0.970047395921701</v>
      </c>
    </row>
    <row r="22" spans="1:10">
      <c r="A22" s="3" t="s">
        <v>18</v>
      </c>
      <c r="B22" s="3">
        <v>0.555</v>
      </c>
      <c r="C22" s="3">
        <v>0.0382</v>
      </c>
      <c r="D22" s="3">
        <v>0.1724</v>
      </c>
      <c r="E22" s="4">
        <v>0.1649</v>
      </c>
      <c r="F22" s="5">
        <v>0.2098</v>
      </c>
      <c r="G22" s="3">
        <f t="shared" si="5"/>
        <v>0.0449</v>
      </c>
      <c r="H22" s="3">
        <f t="shared" si="6"/>
        <v>0.214013346043851</v>
      </c>
      <c r="I22" s="3" t="s">
        <v>19</v>
      </c>
      <c r="J22" s="3"/>
    </row>
    <row r="23" spans="1:10">
      <c r="A23" s="3" t="s">
        <v>20</v>
      </c>
      <c r="B23" s="3">
        <v>0.66</v>
      </c>
      <c r="C23" s="3">
        <v>0.036</v>
      </c>
      <c r="D23" s="3">
        <v>0.1995</v>
      </c>
      <c r="E23" s="4">
        <v>0.1926</v>
      </c>
      <c r="F23" s="5">
        <v>0.2641</v>
      </c>
      <c r="G23" s="3">
        <f t="shared" si="5"/>
        <v>0.0715</v>
      </c>
      <c r="H23" s="3">
        <f t="shared" si="6"/>
        <v>0.270730783794017</v>
      </c>
      <c r="I23" s="6">
        <f>SUMPRODUCT(ABS(H21:H24))/COUNT(H21:H24)</f>
        <v>0.196130523269397</v>
      </c>
      <c r="J23" s="3"/>
    </row>
    <row r="24" spans="1:10">
      <c r="A24" s="3" t="s">
        <v>21</v>
      </c>
      <c r="B24" s="3">
        <v>0.83</v>
      </c>
      <c r="C24" s="3">
        <v>0.032</v>
      </c>
      <c r="D24" s="3">
        <v>0.3199</v>
      </c>
      <c r="E24" s="4">
        <v>0.3058</v>
      </c>
      <c r="F24" s="2">
        <v>0.335</v>
      </c>
      <c r="G24" s="3">
        <f t="shared" si="5"/>
        <v>0.0292</v>
      </c>
      <c r="H24" s="3">
        <f t="shared" si="6"/>
        <v>0.0871641791044776</v>
      </c>
      <c r="I24" s="3"/>
      <c r="J24" s="3"/>
    </row>
    <row r="25" spans="1:10">
      <c r="A25" s="3"/>
      <c r="B25" s="3"/>
      <c r="E25" s="3"/>
      <c r="F25" s="3"/>
      <c r="G25" s="3"/>
      <c r="H25" s="3"/>
      <c r="I25" s="3"/>
      <c r="J25" s="3"/>
    </row>
    <row r="26" spans="1:10">
      <c r="A26" s="3"/>
      <c r="B26" s="3"/>
      <c r="C26" s="3" t="s">
        <v>22</v>
      </c>
      <c r="D26" s="3" t="s">
        <v>23</v>
      </c>
      <c r="E26" s="3" t="s">
        <v>24</v>
      </c>
      <c r="F26" s="3" t="s">
        <v>25</v>
      </c>
      <c r="G26" s="3" t="s">
        <v>26</v>
      </c>
      <c r="H26" t="s">
        <v>27</v>
      </c>
      <c r="I26" s="3" t="s">
        <v>28</v>
      </c>
      <c r="J26" s="3" t="s">
        <v>29</v>
      </c>
    </row>
    <row r="27" spans="3:10">
      <c r="C27" s="3">
        <f t="shared" ref="C27:F27" si="7">(C24-C23)/(C24+C23)</f>
        <v>-0.0588235294117646</v>
      </c>
      <c r="D27" s="3">
        <f t="shared" si="7"/>
        <v>0.231805929919137</v>
      </c>
      <c r="E27" s="3">
        <f t="shared" si="7"/>
        <v>0.227126805778491</v>
      </c>
      <c r="F27" s="3">
        <f t="shared" si="7"/>
        <v>0.118344182941078</v>
      </c>
      <c r="G27" s="3">
        <f t="shared" ref="G27:G30" si="8">D21-F21</f>
        <v>-0.0302</v>
      </c>
      <c r="H27" s="3">
        <f t="shared" ref="H27:H30" si="9">G27/F21</f>
        <v>-0.196358907672302</v>
      </c>
      <c r="I27" s="3">
        <f>SQRT(SUMSQ(G27:G30)/COUNTA(G27:G30))</f>
        <v>0.0409633067512866</v>
      </c>
      <c r="J27" s="3">
        <f>CORREL(D21:D24,F21:F24)</f>
        <v>0.969700776838606</v>
      </c>
    </row>
    <row r="28" spans="3:10">
      <c r="C28" s="3"/>
      <c r="D28" s="3"/>
      <c r="E28" s="3"/>
      <c r="F28" s="3"/>
      <c r="G28" s="3">
        <f t="shared" si="8"/>
        <v>-0.0374</v>
      </c>
      <c r="H28" s="3">
        <f t="shared" si="9"/>
        <v>-0.178265014299333</v>
      </c>
      <c r="I28" s="3" t="s">
        <v>30</v>
      </c>
      <c r="J28" s="3"/>
    </row>
    <row r="29" spans="3:10">
      <c r="C29" s="3"/>
      <c r="D29" s="3"/>
      <c r="E29" s="3"/>
      <c r="F29" s="3"/>
      <c r="G29" s="3">
        <f t="shared" si="8"/>
        <v>-0.0646</v>
      </c>
      <c r="H29" s="3">
        <f t="shared" si="9"/>
        <v>-0.244604316546763</v>
      </c>
      <c r="I29" s="3">
        <f>SUMPRODUCT(ABS(H27:H30))/COUNT(H27:H30)</f>
        <v>0.166075716346017</v>
      </c>
      <c r="J29" s="3"/>
    </row>
    <row r="30" spans="3:10">
      <c r="C30" s="3"/>
      <c r="D30" s="3"/>
      <c r="E30" s="3"/>
      <c r="F30" s="3"/>
      <c r="G30" s="3">
        <f t="shared" si="8"/>
        <v>-0.0151</v>
      </c>
      <c r="H30" s="3">
        <f t="shared" si="9"/>
        <v>-0.0450746268656716</v>
      </c>
      <c r="I30" s="3"/>
      <c r="J30" s="3"/>
    </row>
    <row r="32" spans="1:4">
      <c r="A32" s="2" t="s">
        <v>1</v>
      </c>
      <c r="B32" s="2" t="s">
        <v>80</v>
      </c>
      <c r="C32" s="2"/>
      <c r="D32" s="2" t="s">
        <v>81</v>
      </c>
    </row>
    <row r="33" spans="1:4">
      <c r="A33" s="2" t="s">
        <v>4</v>
      </c>
      <c r="B33" s="2" t="s">
        <v>82</v>
      </c>
      <c r="C33" s="2"/>
      <c r="D33" s="2"/>
    </row>
    <row r="35" spans="1:11">
      <c r="A35" s="3" t="s">
        <v>6</v>
      </c>
      <c r="B35" s="3" t="s">
        <v>7</v>
      </c>
      <c r="C35" s="3" t="s">
        <v>8</v>
      </c>
      <c r="D35" s="3" t="s">
        <v>9</v>
      </c>
      <c r="E35" s="3" t="s">
        <v>10</v>
      </c>
      <c r="F35" s="3" t="s">
        <v>11</v>
      </c>
      <c r="G35" s="3" t="s">
        <v>12</v>
      </c>
      <c r="H35" s="3" t="s">
        <v>13</v>
      </c>
      <c r="I35" s="3" t="s">
        <v>14</v>
      </c>
      <c r="J35" s="3" t="s">
        <v>15</v>
      </c>
      <c r="K35" t="s">
        <v>16</v>
      </c>
    </row>
    <row r="36" spans="1:11">
      <c r="A36" s="3" t="s">
        <v>17</v>
      </c>
      <c r="B36" s="3">
        <v>0.485</v>
      </c>
      <c r="C36" s="3">
        <v>0.0288</v>
      </c>
      <c r="D36" s="3">
        <v>0.0441</v>
      </c>
      <c r="E36" s="4">
        <v>0.0472</v>
      </c>
      <c r="F36" s="5">
        <v>0.0577</v>
      </c>
      <c r="G36" s="3">
        <f t="shared" ref="G36:G39" si="10">F36-E36</f>
        <v>0.0105</v>
      </c>
      <c r="H36" s="3">
        <f t="shared" ref="H36:H39" si="11">G36/F36</f>
        <v>0.181975736568458</v>
      </c>
      <c r="I36" s="6">
        <f>SQRT(SUMSQ(G36:G39)/COUNTA(G36:G39))</f>
        <v>0.027937966998334</v>
      </c>
      <c r="J36" s="3">
        <f>CORREL(E36:E39,F36:F39)</f>
        <v>0.931411796357713</v>
      </c>
      <c r="K36" s="7">
        <f>J36*J36</f>
        <v>0.867527934394302</v>
      </c>
    </row>
    <row r="37" spans="1:10">
      <c r="A37" s="3" t="s">
        <v>18</v>
      </c>
      <c r="B37" s="3">
        <v>0.555</v>
      </c>
      <c r="C37" s="3">
        <v>0.0245</v>
      </c>
      <c r="D37" s="3">
        <v>0.0881</v>
      </c>
      <c r="E37" s="4">
        <v>0.0819</v>
      </c>
      <c r="F37" s="5">
        <v>0.1178</v>
      </c>
      <c r="G37" s="3">
        <f t="shared" si="10"/>
        <v>0.0359</v>
      </c>
      <c r="H37" s="3">
        <f t="shared" si="11"/>
        <v>0.304753820033956</v>
      </c>
      <c r="I37" s="3" t="s">
        <v>19</v>
      </c>
      <c r="J37" s="3"/>
    </row>
    <row r="38" spans="1:10">
      <c r="A38" s="3" t="s">
        <v>20</v>
      </c>
      <c r="B38" s="3">
        <v>0.66</v>
      </c>
      <c r="C38" s="3">
        <v>0.0135</v>
      </c>
      <c r="D38" s="3">
        <v>0.0504</v>
      </c>
      <c r="E38" s="4">
        <v>0.0493</v>
      </c>
      <c r="F38" s="5">
        <v>0.0898</v>
      </c>
      <c r="G38" s="3">
        <f t="shared" si="10"/>
        <v>0.0405</v>
      </c>
      <c r="H38" s="3">
        <f t="shared" si="11"/>
        <v>0.451002227171492</v>
      </c>
      <c r="I38" s="6">
        <f>SUMPRODUCT(ABS(H36:H39))/COUNT(H36:H39)</f>
        <v>0.291024985744471</v>
      </c>
      <c r="J38" s="3"/>
    </row>
    <row r="39" spans="1:10">
      <c r="A39" s="3" t="s">
        <v>21</v>
      </c>
      <c r="B39" s="3">
        <v>0.83</v>
      </c>
      <c r="C39" s="3">
        <v>0.0051</v>
      </c>
      <c r="D39" s="3">
        <v>0.0256</v>
      </c>
      <c r="E39" s="4">
        <v>0.0311</v>
      </c>
      <c r="F39" s="5">
        <v>0.0402</v>
      </c>
      <c r="G39" s="3">
        <f t="shared" si="10"/>
        <v>0.0091</v>
      </c>
      <c r="H39" s="3">
        <f t="shared" si="11"/>
        <v>0.22636815920398</v>
      </c>
      <c r="I39" s="3"/>
      <c r="J39" s="3"/>
    </row>
    <row r="40" spans="1:11">
      <c r="A40" s="3"/>
      <c r="B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 t="s">
        <v>22</v>
      </c>
      <c r="D41" s="3" t="s">
        <v>23</v>
      </c>
      <c r="E41" s="3" t="s">
        <v>24</v>
      </c>
      <c r="F41" s="3" t="s">
        <v>25</v>
      </c>
      <c r="G41" s="3" t="s">
        <v>26</v>
      </c>
      <c r="H41" t="s">
        <v>27</v>
      </c>
      <c r="I41" s="3" t="s">
        <v>28</v>
      </c>
      <c r="J41" s="3" t="s">
        <v>29</v>
      </c>
      <c r="K41" t="s">
        <v>16</v>
      </c>
    </row>
    <row r="42" spans="3:11">
      <c r="C42" s="3">
        <f t="shared" ref="C42:F42" si="12">(C39-C38)/(C39+C38)</f>
        <v>-0.451612903225806</v>
      </c>
      <c r="D42" s="3">
        <f t="shared" si="12"/>
        <v>-0.326315789473684</v>
      </c>
      <c r="E42" s="3">
        <f t="shared" si="12"/>
        <v>-0.22636815920398</v>
      </c>
      <c r="F42" s="3">
        <f t="shared" si="12"/>
        <v>-0.381538461538462</v>
      </c>
      <c r="G42" s="3">
        <f t="shared" ref="G42:G45" si="13">D36-F36</f>
        <v>-0.0136</v>
      </c>
      <c r="H42" s="3">
        <f t="shared" ref="H42:H45" si="14">G42/F36</f>
        <v>-0.235701906412478</v>
      </c>
      <c r="I42" s="3">
        <f>SQRT(SUMSQ(G42:G45)/COUNTA(G42:G45))</f>
        <v>0.0266109469955505</v>
      </c>
      <c r="J42" s="3">
        <f>CORREL(D36:D39,F36:F39)</f>
        <v>0.951090413439029</v>
      </c>
      <c r="K42" s="7">
        <f>J42*J42</f>
        <v>0.904572974535623</v>
      </c>
    </row>
    <row r="43" spans="3:10">
      <c r="C43" s="3"/>
      <c r="D43" s="3"/>
      <c r="E43" s="3"/>
      <c r="F43" s="3"/>
      <c r="G43" s="3">
        <f t="shared" si="13"/>
        <v>-0.0297</v>
      </c>
      <c r="H43" s="3">
        <f t="shared" si="14"/>
        <v>-0.252122241086587</v>
      </c>
      <c r="I43" s="3" t="s">
        <v>30</v>
      </c>
      <c r="J43" s="3"/>
    </row>
    <row r="44" spans="3:10">
      <c r="C44" s="3"/>
      <c r="D44" s="3"/>
      <c r="E44" s="3"/>
      <c r="F44" s="3"/>
      <c r="G44" s="3">
        <f t="shared" si="13"/>
        <v>-0.0394</v>
      </c>
      <c r="H44" s="3">
        <f t="shared" si="14"/>
        <v>-0.438752783964365</v>
      </c>
      <c r="I44" s="3">
        <f>SUMPRODUCT(ABS(H42:H45))/COUNT(H42:H45)</f>
        <v>0.322440252766355</v>
      </c>
      <c r="J44" s="3"/>
    </row>
    <row r="45" spans="3:10">
      <c r="C45" s="3"/>
      <c r="D45" s="3"/>
      <c r="E45" s="3"/>
      <c r="F45" s="3"/>
      <c r="G45" s="3">
        <f t="shared" si="13"/>
        <v>-0.0146</v>
      </c>
      <c r="H45" s="3">
        <f t="shared" si="14"/>
        <v>-0.36318407960199</v>
      </c>
      <c r="I45" s="3"/>
      <c r="J45" s="3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</sheetData>
  <mergeCells count="2">
    <mergeCell ref="A1:L1"/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祁阳</vt:lpstr>
      <vt:lpstr>洞庭湖</vt:lpstr>
      <vt:lpstr>锡林浩特</vt:lpstr>
      <vt:lpstr>沽源</vt:lpstr>
      <vt:lpstr>广州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15404</dc:creator>
  <cp:lastModifiedBy>墨月流殇</cp:lastModifiedBy>
  <dcterms:created xsi:type="dcterms:W3CDTF">2022-03-13T09:16:00Z</dcterms:created>
  <dcterms:modified xsi:type="dcterms:W3CDTF">2022-03-28T13:54:20Z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ABE956257BBE4C96990F136B7F6FE6DB</vt:lpwstr>
  </property>
  <property fmtid="{D5CDD505-2E9C-101B-9397-08002B2CF9AE}" pid="3" name="KSOProductBuildVer">
    <vt:lpwstr>2052-11.1.0.11365</vt:lpwstr>
  </property>
</Properties>
</file>